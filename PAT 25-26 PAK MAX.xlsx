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681F9F6-2E9C-4EC1-A3A5-1D3814B60B84}" xr6:coauthVersionLast="47" xr6:coauthVersionMax="47" xr10:uidLastSave="{00000000-0000-0000-0000-000000000000}"/>
  <bookViews>
    <workbookView xWindow="-110" yWindow="-110" windowWidth="19420" windowHeight="10300" xr2:uid="{F7ECA3D2-D4EB-448F-9DBD-6A40C61E7252}"/>
  </bookViews>
  <sheets>
    <sheet name="PESER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BANGKU">#REF!</definedName>
    <definedName name="bilik">[2]ABSEN!$D$5</definedName>
    <definedName name="DB_PAT">PESERTA!$A$2:$O$620</definedName>
    <definedName name="DB_SIS">PESERTA!$A$2:$W$620</definedName>
    <definedName name="DB_SISWA">[3]Peserta!$A$3:$M$920</definedName>
    <definedName name="KELAS">[4]ABSEN!$D$5</definedName>
    <definedName name="Kode_Guru">'[5]Jam-Gr'!$L$10:$M$64</definedName>
    <definedName name="Kode_Mapel">'[5]Jam-Gr'!$S$10:$T$31</definedName>
    <definedName name="KodeGuru">[6]Kode!$D$5:$E$64</definedName>
    <definedName name="Kodemapel">[6]Kode!$A$5:$B$40</definedName>
    <definedName name="KURSI">#REF!</definedName>
    <definedName name="MURID_12">#REF!</definedName>
    <definedName name="PAT">PESERTA!$B$2:$O$346</definedName>
    <definedName name="_xlnm.Print_Area" localSheetId="0">PESERTA!$B$1:$O$3</definedName>
    <definedName name="_xlnm.Print_Titles" localSheetId="0">PESERTA!$B:$O,PESERTA!$1:$1</definedName>
    <definedName name="Range_Guru">[5]Sheet8!$CF$7:$DF$7</definedName>
    <definedName name="RangeGuru">[6]Sheet8!$CA$5:$DJ$5</definedName>
    <definedName name="RangeMapel">[6]Sheet8!$AP$5:$BY$5</definedName>
    <definedName name="SISWA_11">#REF!</definedName>
    <definedName name="siswa_12">#REF!</definedName>
    <definedName name="WALI_11">#REF!</definedName>
    <definedName name="Wali_Klas">'[5]Jam-Kls'!$O$4:$Q$30</definedName>
    <definedName name="WALI_K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9" i="1" l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30" i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J620" i="1"/>
  <c r="H620" i="1"/>
  <c r="A620" i="1"/>
  <c r="J619" i="1"/>
  <c r="H619" i="1"/>
  <c r="A619" i="1"/>
  <c r="J618" i="1"/>
  <c r="H618" i="1"/>
  <c r="A618" i="1"/>
  <c r="J617" i="1"/>
  <c r="H617" i="1"/>
  <c r="A617" i="1"/>
  <c r="J616" i="1"/>
  <c r="H616" i="1"/>
  <c r="A616" i="1"/>
  <c r="J615" i="1"/>
  <c r="H615" i="1"/>
  <c r="A615" i="1"/>
  <c r="J614" i="1"/>
  <c r="H614" i="1"/>
  <c r="A614" i="1"/>
  <c r="J613" i="1"/>
  <c r="H613" i="1"/>
  <c r="A613" i="1"/>
  <c r="J612" i="1"/>
  <c r="H612" i="1"/>
  <c r="A612" i="1"/>
  <c r="J611" i="1"/>
  <c r="H611" i="1"/>
  <c r="A611" i="1"/>
  <c r="J610" i="1"/>
  <c r="H610" i="1"/>
  <c r="A610" i="1"/>
  <c r="J609" i="1"/>
  <c r="H609" i="1"/>
  <c r="A609" i="1"/>
  <c r="J608" i="1"/>
  <c r="H608" i="1"/>
  <c r="A608" i="1"/>
  <c r="J607" i="1"/>
  <c r="H607" i="1"/>
  <c r="A607" i="1"/>
  <c r="J606" i="1"/>
  <c r="H606" i="1"/>
  <c r="A606" i="1"/>
  <c r="J605" i="1"/>
  <c r="H605" i="1"/>
  <c r="A605" i="1"/>
  <c r="J604" i="1"/>
  <c r="H604" i="1"/>
  <c r="A604" i="1"/>
  <c r="J603" i="1"/>
  <c r="H603" i="1"/>
  <c r="A603" i="1"/>
  <c r="J602" i="1"/>
  <c r="H602" i="1"/>
  <c r="A602" i="1"/>
  <c r="J601" i="1"/>
  <c r="H601" i="1"/>
  <c r="A601" i="1"/>
  <c r="J600" i="1"/>
  <c r="H600" i="1"/>
  <c r="A600" i="1"/>
  <c r="J599" i="1"/>
  <c r="H599" i="1"/>
  <c r="A599" i="1"/>
  <c r="J598" i="1"/>
  <c r="H598" i="1"/>
  <c r="A598" i="1"/>
  <c r="J597" i="1"/>
  <c r="H597" i="1"/>
  <c r="A597" i="1"/>
  <c r="J596" i="1"/>
  <c r="H596" i="1"/>
  <c r="A596" i="1"/>
  <c r="J595" i="1"/>
  <c r="H595" i="1"/>
  <c r="A595" i="1"/>
  <c r="J594" i="1"/>
  <c r="H594" i="1"/>
  <c r="A594" i="1"/>
  <c r="J593" i="1"/>
  <c r="H593" i="1"/>
  <c r="A593" i="1"/>
  <c r="J592" i="1"/>
  <c r="H592" i="1"/>
  <c r="A592" i="1"/>
  <c r="J591" i="1"/>
  <c r="H591" i="1"/>
  <c r="A591" i="1"/>
  <c r="J590" i="1"/>
  <c r="H590" i="1"/>
  <c r="A590" i="1"/>
  <c r="J589" i="1"/>
  <c r="H589" i="1"/>
  <c r="A589" i="1"/>
  <c r="J588" i="1"/>
  <c r="H588" i="1"/>
  <c r="A588" i="1"/>
  <c r="J587" i="1"/>
  <c r="H587" i="1"/>
  <c r="A587" i="1"/>
  <c r="J586" i="1"/>
  <c r="H586" i="1"/>
  <c r="A586" i="1"/>
  <c r="J585" i="1"/>
  <c r="H585" i="1"/>
  <c r="A585" i="1"/>
  <c r="J584" i="1"/>
  <c r="H584" i="1"/>
  <c r="A584" i="1"/>
  <c r="J583" i="1"/>
  <c r="H583" i="1"/>
  <c r="A583" i="1"/>
  <c r="J582" i="1"/>
  <c r="H582" i="1"/>
  <c r="A582" i="1"/>
  <c r="J581" i="1"/>
  <c r="H581" i="1"/>
  <c r="A581" i="1"/>
  <c r="J580" i="1"/>
  <c r="H580" i="1"/>
  <c r="A580" i="1"/>
  <c r="J579" i="1"/>
  <c r="H579" i="1"/>
  <c r="A579" i="1"/>
  <c r="J578" i="1"/>
  <c r="H578" i="1"/>
  <c r="A578" i="1"/>
  <c r="J577" i="1"/>
  <c r="H577" i="1"/>
  <c r="A577" i="1"/>
  <c r="J576" i="1"/>
  <c r="H576" i="1"/>
  <c r="A576" i="1"/>
  <c r="J575" i="1"/>
  <c r="H575" i="1"/>
  <c r="A575" i="1"/>
  <c r="J574" i="1"/>
  <c r="H574" i="1"/>
  <c r="A574" i="1"/>
  <c r="J573" i="1"/>
  <c r="H573" i="1"/>
  <c r="A573" i="1"/>
  <c r="J572" i="1"/>
  <c r="H572" i="1"/>
  <c r="A572" i="1"/>
  <c r="J571" i="1"/>
  <c r="H571" i="1"/>
  <c r="A571" i="1"/>
  <c r="J570" i="1"/>
  <c r="H570" i="1"/>
  <c r="A570" i="1"/>
  <c r="J569" i="1"/>
  <c r="H569" i="1"/>
  <c r="A569" i="1"/>
  <c r="J568" i="1"/>
  <c r="H568" i="1"/>
  <c r="A568" i="1"/>
  <c r="J567" i="1"/>
  <c r="H567" i="1"/>
  <c r="A567" i="1"/>
  <c r="J566" i="1"/>
  <c r="H566" i="1"/>
  <c r="A566" i="1"/>
  <c r="J565" i="1"/>
  <c r="H565" i="1"/>
  <c r="A565" i="1"/>
  <c r="J564" i="1"/>
  <c r="H564" i="1"/>
  <c r="A564" i="1"/>
  <c r="J563" i="1"/>
  <c r="H563" i="1"/>
  <c r="A563" i="1"/>
  <c r="J562" i="1"/>
  <c r="H562" i="1"/>
  <c r="A562" i="1"/>
  <c r="J561" i="1"/>
  <c r="H561" i="1"/>
  <c r="A561" i="1"/>
  <c r="J560" i="1"/>
  <c r="H560" i="1"/>
  <c r="A560" i="1"/>
  <c r="J559" i="1"/>
  <c r="H559" i="1"/>
  <c r="A559" i="1"/>
  <c r="J558" i="1"/>
  <c r="H558" i="1"/>
  <c r="A558" i="1"/>
  <c r="J557" i="1"/>
  <c r="H557" i="1"/>
  <c r="A557" i="1"/>
  <c r="J556" i="1"/>
  <c r="H556" i="1"/>
  <c r="A556" i="1"/>
  <c r="J555" i="1"/>
  <c r="H555" i="1"/>
  <c r="A555" i="1"/>
  <c r="J554" i="1"/>
  <c r="H554" i="1"/>
  <c r="A554" i="1"/>
  <c r="J553" i="1"/>
  <c r="H553" i="1"/>
  <c r="A553" i="1"/>
  <c r="J552" i="1"/>
  <c r="H552" i="1"/>
  <c r="A552" i="1"/>
  <c r="J551" i="1"/>
  <c r="H551" i="1"/>
  <c r="A551" i="1"/>
  <c r="J550" i="1"/>
  <c r="H550" i="1"/>
  <c r="A550" i="1"/>
  <c r="J549" i="1"/>
  <c r="H549" i="1"/>
  <c r="A549" i="1"/>
  <c r="J548" i="1"/>
  <c r="H548" i="1"/>
  <c r="A548" i="1"/>
  <c r="J547" i="1"/>
  <c r="H547" i="1"/>
  <c r="A547" i="1"/>
  <c r="J546" i="1"/>
  <c r="H546" i="1"/>
  <c r="A546" i="1"/>
  <c r="J545" i="1"/>
  <c r="H545" i="1"/>
  <c r="A545" i="1"/>
  <c r="J544" i="1"/>
  <c r="H544" i="1"/>
  <c r="A544" i="1"/>
  <c r="J543" i="1"/>
  <c r="H543" i="1"/>
  <c r="A543" i="1"/>
  <c r="J542" i="1"/>
  <c r="H542" i="1"/>
  <c r="A542" i="1"/>
  <c r="J541" i="1"/>
  <c r="H541" i="1"/>
  <c r="A541" i="1"/>
  <c r="J540" i="1"/>
  <c r="H540" i="1"/>
  <c r="A540" i="1"/>
  <c r="J539" i="1"/>
  <c r="H539" i="1"/>
  <c r="A539" i="1"/>
  <c r="J538" i="1"/>
  <c r="H538" i="1"/>
  <c r="A538" i="1"/>
  <c r="J537" i="1"/>
  <c r="H537" i="1"/>
  <c r="A537" i="1"/>
  <c r="J536" i="1"/>
  <c r="H536" i="1"/>
  <c r="A536" i="1"/>
  <c r="J535" i="1"/>
  <c r="H535" i="1"/>
  <c r="A535" i="1"/>
  <c r="J534" i="1"/>
  <c r="H534" i="1"/>
  <c r="A534" i="1"/>
  <c r="J533" i="1"/>
  <c r="H533" i="1"/>
  <c r="A533" i="1"/>
  <c r="J532" i="1"/>
  <c r="H532" i="1"/>
  <c r="A532" i="1"/>
  <c r="J531" i="1"/>
  <c r="H531" i="1"/>
  <c r="A531" i="1"/>
  <c r="J530" i="1"/>
  <c r="H530" i="1"/>
  <c r="A530" i="1"/>
  <c r="J529" i="1"/>
  <c r="H529" i="1"/>
  <c r="A529" i="1"/>
  <c r="J528" i="1"/>
  <c r="H528" i="1"/>
  <c r="A528" i="1"/>
  <c r="J527" i="1"/>
  <c r="H527" i="1"/>
  <c r="A527" i="1"/>
  <c r="J526" i="1"/>
  <c r="H526" i="1"/>
  <c r="A526" i="1"/>
  <c r="J525" i="1"/>
  <c r="H525" i="1"/>
  <c r="A525" i="1"/>
  <c r="J524" i="1"/>
  <c r="H524" i="1"/>
  <c r="A524" i="1"/>
  <c r="J523" i="1"/>
  <c r="H523" i="1"/>
  <c r="A523" i="1"/>
  <c r="J522" i="1"/>
  <c r="H522" i="1"/>
  <c r="A522" i="1"/>
  <c r="J521" i="1"/>
  <c r="H521" i="1"/>
  <c r="A521" i="1"/>
  <c r="J520" i="1"/>
  <c r="H520" i="1"/>
  <c r="A520" i="1"/>
  <c r="J519" i="1"/>
  <c r="H519" i="1"/>
  <c r="A519" i="1"/>
  <c r="J518" i="1"/>
  <c r="H518" i="1"/>
  <c r="A518" i="1"/>
  <c r="J517" i="1"/>
  <c r="H517" i="1"/>
  <c r="A517" i="1"/>
  <c r="J516" i="1"/>
  <c r="H516" i="1"/>
  <c r="A516" i="1"/>
  <c r="J515" i="1"/>
  <c r="H515" i="1"/>
  <c r="A515" i="1"/>
  <c r="J514" i="1"/>
  <c r="H514" i="1"/>
  <c r="A514" i="1"/>
  <c r="J513" i="1"/>
  <c r="H513" i="1"/>
  <c r="A513" i="1"/>
  <c r="J512" i="1"/>
  <c r="H512" i="1"/>
  <c r="A512" i="1"/>
  <c r="J511" i="1"/>
  <c r="H511" i="1"/>
  <c r="A511" i="1"/>
  <c r="J510" i="1"/>
  <c r="H510" i="1"/>
  <c r="A510" i="1"/>
  <c r="J509" i="1"/>
  <c r="H509" i="1"/>
  <c r="A509" i="1"/>
  <c r="J508" i="1"/>
  <c r="H508" i="1"/>
  <c r="A508" i="1"/>
  <c r="J507" i="1"/>
  <c r="H507" i="1"/>
  <c r="A507" i="1"/>
  <c r="J506" i="1"/>
  <c r="H506" i="1"/>
  <c r="A506" i="1"/>
  <c r="J505" i="1"/>
  <c r="H505" i="1"/>
  <c r="A505" i="1"/>
  <c r="J504" i="1"/>
  <c r="H504" i="1"/>
  <c r="A504" i="1"/>
  <c r="J503" i="1"/>
  <c r="H503" i="1"/>
  <c r="A503" i="1"/>
  <c r="J502" i="1"/>
  <c r="H502" i="1"/>
  <c r="A502" i="1"/>
  <c r="J501" i="1"/>
  <c r="H501" i="1"/>
  <c r="A501" i="1"/>
  <c r="J500" i="1"/>
  <c r="H500" i="1"/>
  <c r="A500" i="1"/>
  <c r="J499" i="1"/>
  <c r="H499" i="1"/>
  <c r="A499" i="1"/>
  <c r="J498" i="1"/>
  <c r="H498" i="1"/>
  <c r="A498" i="1"/>
  <c r="J497" i="1"/>
  <c r="H497" i="1"/>
  <c r="A497" i="1"/>
  <c r="J496" i="1"/>
  <c r="H496" i="1"/>
  <c r="A496" i="1"/>
  <c r="J495" i="1"/>
  <c r="H495" i="1"/>
  <c r="A495" i="1"/>
  <c r="J494" i="1"/>
  <c r="H494" i="1"/>
  <c r="A494" i="1"/>
  <c r="J493" i="1"/>
  <c r="H493" i="1"/>
  <c r="A493" i="1"/>
  <c r="J492" i="1"/>
  <c r="H492" i="1"/>
  <c r="A492" i="1"/>
  <c r="J491" i="1"/>
  <c r="H491" i="1"/>
  <c r="A491" i="1"/>
  <c r="J490" i="1"/>
  <c r="H490" i="1"/>
  <c r="A490" i="1"/>
  <c r="J489" i="1"/>
  <c r="H489" i="1"/>
  <c r="A489" i="1"/>
  <c r="J488" i="1"/>
  <c r="H488" i="1"/>
  <c r="A488" i="1"/>
  <c r="J487" i="1"/>
  <c r="H487" i="1"/>
  <c r="A487" i="1"/>
  <c r="J486" i="1"/>
  <c r="H486" i="1"/>
  <c r="A486" i="1"/>
  <c r="J485" i="1"/>
  <c r="H485" i="1"/>
  <c r="A485" i="1"/>
  <c r="J484" i="1"/>
  <c r="H484" i="1"/>
  <c r="A484" i="1"/>
  <c r="J483" i="1"/>
  <c r="H483" i="1"/>
  <c r="A483" i="1"/>
  <c r="J482" i="1"/>
  <c r="H482" i="1"/>
  <c r="A482" i="1"/>
  <c r="J481" i="1"/>
  <c r="H481" i="1"/>
  <c r="A481" i="1"/>
  <c r="J480" i="1"/>
  <c r="H480" i="1"/>
  <c r="A480" i="1"/>
  <c r="J479" i="1"/>
  <c r="H479" i="1"/>
  <c r="A479" i="1"/>
  <c r="J478" i="1"/>
  <c r="H478" i="1"/>
  <c r="A478" i="1"/>
  <c r="J477" i="1"/>
  <c r="H477" i="1"/>
  <c r="A477" i="1"/>
  <c r="J476" i="1"/>
  <c r="H476" i="1"/>
  <c r="A476" i="1"/>
  <c r="J475" i="1"/>
  <c r="H475" i="1"/>
  <c r="A475" i="1"/>
  <c r="J474" i="1"/>
  <c r="H474" i="1"/>
  <c r="A474" i="1"/>
  <c r="J473" i="1"/>
  <c r="H473" i="1"/>
  <c r="A473" i="1"/>
  <c r="J472" i="1"/>
  <c r="H472" i="1"/>
  <c r="A472" i="1"/>
  <c r="J471" i="1"/>
  <c r="H471" i="1"/>
  <c r="A471" i="1"/>
  <c r="J470" i="1"/>
  <c r="H470" i="1"/>
  <c r="A470" i="1"/>
  <c r="J469" i="1"/>
  <c r="H469" i="1"/>
  <c r="A469" i="1"/>
  <c r="J468" i="1"/>
  <c r="H468" i="1"/>
  <c r="A468" i="1"/>
  <c r="J467" i="1"/>
  <c r="H467" i="1"/>
  <c r="A467" i="1"/>
  <c r="J466" i="1"/>
  <c r="H466" i="1"/>
  <c r="A466" i="1"/>
  <c r="J465" i="1"/>
  <c r="H465" i="1"/>
  <c r="A465" i="1"/>
  <c r="J464" i="1"/>
  <c r="H464" i="1"/>
  <c r="A464" i="1"/>
  <c r="J463" i="1"/>
  <c r="H463" i="1"/>
  <c r="A463" i="1"/>
  <c r="J462" i="1"/>
  <c r="H462" i="1"/>
  <c r="A462" i="1"/>
  <c r="J461" i="1"/>
  <c r="H461" i="1"/>
  <c r="A461" i="1"/>
  <c r="J460" i="1"/>
  <c r="H460" i="1"/>
  <c r="A460" i="1"/>
  <c r="J459" i="1"/>
  <c r="H459" i="1"/>
  <c r="A459" i="1"/>
  <c r="J458" i="1"/>
  <c r="H458" i="1"/>
  <c r="A458" i="1"/>
  <c r="J457" i="1"/>
  <c r="H457" i="1"/>
  <c r="A457" i="1"/>
  <c r="J456" i="1"/>
  <c r="H456" i="1"/>
  <c r="A456" i="1"/>
  <c r="J455" i="1"/>
  <c r="H455" i="1"/>
  <c r="A455" i="1"/>
  <c r="J454" i="1"/>
  <c r="H454" i="1"/>
  <c r="A454" i="1"/>
  <c r="J453" i="1"/>
  <c r="H453" i="1"/>
  <c r="A453" i="1"/>
  <c r="J452" i="1"/>
  <c r="H452" i="1"/>
  <c r="A452" i="1"/>
  <c r="J451" i="1"/>
  <c r="H451" i="1"/>
  <c r="A451" i="1"/>
  <c r="J450" i="1"/>
  <c r="H450" i="1"/>
  <c r="A450" i="1"/>
  <c r="J449" i="1"/>
  <c r="H449" i="1"/>
  <c r="A449" i="1"/>
  <c r="J448" i="1"/>
  <c r="H448" i="1"/>
  <c r="A448" i="1"/>
  <c r="J447" i="1"/>
  <c r="H447" i="1"/>
  <c r="A447" i="1"/>
  <c r="J446" i="1"/>
  <c r="H446" i="1"/>
  <c r="A446" i="1"/>
  <c r="J445" i="1"/>
  <c r="H445" i="1"/>
  <c r="A445" i="1"/>
  <c r="J444" i="1"/>
  <c r="H444" i="1"/>
  <c r="A444" i="1"/>
  <c r="J443" i="1"/>
  <c r="H443" i="1"/>
  <c r="A443" i="1"/>
  <c r="J442" i="1"/>
  <c r="H442" i="1"/>
  <c r="A442" i="1"/>
  <c r="J441" i="1"/>
  <c r="H441" i="1"/>
  <c r="A441" i="1"/>
  <c r="J440" i="1"/>
  <c r="H440" i="1"/>
  <c r="A440" i="1"/>
  <c r="J439" i="1"/>
  <c r="H439" i="1"/>
  <c r="A439" i="1"/>
  <c r="J438" i="1"/>
  <c r="H438" i="1"/>
  <c r="A438" i="1"/>
  <c r="J437" i="1"/>
  <c r="H437" i="1"/>
  <c r="A437" i="1"/>
  <c r="J436" i="1"/>
  <c r="H436" i="1"/>
  <c r="A436" i="1"/>
  <c r="J435" i="1"/>
  <c r="H435" i="1"/>
  <c r="A435" i="1"/>
  <c r="J434" i="1"/>
  <c r="H434" i="1"/>
  <c r="A434" i="1"/>
  <c r="J433" i="1"/>
  <c r="H433" i="1"/>
  <c r="A433" i="1"/>
  <c r="J432" i="1"/>
  <c r="H432" i="1"/>
  <c r="A432" i="1"/>
  <c r="J431" i="1"/>
  <c r="H431" i="1"/>
  <c r="A431" i="1"/>
  <c r="J430" i="1"/>
  <c r="H430" i="1"/>
  <c r="A430" i="1"/>
  <c r="J429" i="1"/>
  <c r="H429" i="1"/>
  <c r="A429" i="1"/>
  <c r="J428" i="1"/>
  <c r="H428" i="1"/>
  <c r="A428" i="1"/>
  <c r="J427" i="1"/>
  <c r="H427" i="1"/>
  <c r="A427" i="1"/>
  <c r="J426" i="1"/>
  <c r="H426" i="1"/>
  <c r="A426" i="1"/>
  <c r="J425" i="1"/>
  <c r="H425" i="1"/>
  <c r="A425" i="1"/>
  <c r="J424" i="1"/>
  <c r="H424" i="1"/>
  <c r="A424" i="1"/>
  <c r="J423" i="1"/>
  <c r="H423" i="1"/>
  <c r="A423" i="1"/>
  <c r="J422" i="1"/>
  <c r="H422" i="1"/>
  <c r="A422" i="1"/>
  <c r="J421" i="1"/>
  <c r="H421" i="1"/>
  <c r="A421" i="1"/>
  <c r="J420" i="1"/>
  <c r="H420" i="1"/>
  <c r="A420" i="1"/>
  <c r="J419" i="1"/>
  <c r="H419" i="1"/>
  <c r="A419" i="1"/>
  <c r="J418" i="1"/>
  <c r="H418" i="1"/>
  <c r="A418" i="1"/>
  <c r="J417" i="1"/>
  <c r="H417" i="1"/>
  <c r="A417" i="1"/>
  <c r="J416" i="1"/>
  <c r="H416" i="1"/>
  <c r="A416" i="1"/>
  <c r="J415" i="1"/>
  <c r="H415" i="1"/>
  <c r="A415" i="1"/>
  <c r="J414" i="1"/>
  <c r="H414" i="1"/>
  <c r="A414" i="1"/>
  <c r="J413" i="1"/>
  <c r="H413" i="1"/>
  <c r="A413" i="1"/>
  <c r="J412" i="1"/>
  <c r="H412" i="1"/>
  <c r="A412" i="1"/>
  <c r="J411" i="1"/>
  <c r="H411" i="1"/>
  <c r="A411" i="1"/>
  <c r="J410" i="1"/>
  <c r="H410" i="1"/>
  <c r="A410" i="1"/>
  <c r="J409" i="1"/>
  <c r="H409" i="1"/>
  <c r="A409" i="1"/>
  <c r="J408" i="1"/>
  <c r="H408" i="1"/>
  <c r="A408" i="1"/>
  <c r="J407" i="1"/>
  <c r="H407" i="1"/>
  <c r="A407" i="1"/>
  <c r="J406" i="1"/>
  <c r="H406" i="1"/>
  <c r="A406" i="1"/>
  <c r="J405" i="1"/>
  <c r="H405" i="1"/>
  <c r="A405" i="1"/>
  <c r="J404" i="1"/>
  <c r="H404" i="1"/>
  <c r="A404" i="1"/>
  <c r="J403" i="1"/>
  <c r="H403" i="1"/>
  <c r="A403" i="1"/>
  <c r="J402" i="1"/>
  <c r="H402" i="1"/>
  <c r="A402" i="1"/>
  <c r="J401" i="1"/>
  <c r="H401" i="1"/>
  <c r="A401" i="1"/>
  <c r="J400" i="1"/>
  <c r="H400" i="1"/>
  <c r="A400" i="1"/>
  <c r="J399" i="1"/>
  <c r="H399" i="1"/>
  <c r="A399" i="1"/>
  <c r="J398" i="1"/>
  <c r="H398" i="1"/>
  <c r="A398" i="1"/>
  <c r="J397" i="1"/>
  <c r="H397" i="1"/>
  <c r="A397" i="1"/>
  <c r="J396" i="1"/>
  <c r="H396" i="1"/>
  <c r="A396" i="1"/>
  <c r="J395" i="1"/>
  <c r="H395" i="1"/>
  <c r="A395" i="1"/>
  <c r="J394" i="1"/>
  <c r="H394" i="1"/>
  <c r="A394" i="1"/>
  <c r="J393" i="1"/>
  <c r="H393" i="1"/>
  <c r="A393" i="1"/>
  <c r="J392" i="1"/>
  <c r="H392" i="1"/>
  <c r="A392" i="1"/>
  <c r="J391" i="1"/>
  <c r="H391" i="1"/>
  <c r="A391" i="1"/>
  <c r="J390" i="1"/>
  <c r="H390" i="1"/>
  <c r="A390" i="1"/>
  <c r="J389" i="1"/>
  <c r="H389" i="1"/>
  <c r="A389" i="1"/>
  <c r="J388" i="1"/>
  <c r="H388" i="1"/>
  <c r="A388" i="1"/>
  <c r="J387" i="1"/>
  <c r="H387" i="1"/>
  <c r="A387" i="1"/>
  <c r="J386" i="1"/>
  <c r="H386" i="1"/>
  <c r="A386" i="1"/>
  <c r="J385" i="1"/>
  <c r="H385" i="1"/>
  <c r="A385" i="1"/>
  <c r="J384" i="1"/>
  <c r="H384" i="1"/>
  <c r="A384" i="1"/>
  <c r="J383" i="1"/>
  <c r="H383" i="1"/>
  <c r="A383" i="1"/>
  <c r="J382" i="1"/>
  <c r="H382" i="1"/>
  <c r="A382" i="1"/>
  <c r="J381" i="1"/>
  <c r="H381" i="1"/>
  <c r="A381" i="1"/>
  <c r="J380" i="1"/>
  <c r="H380" i="1"/>
  <c r="A380" i="1"/>
  <c r="J379" i="1"/>
  <c r="H379" i="1"/>
  <c r="A379" i="1"/>
  <c r="J378" i="1"/>
  <c r="H378" i="1"/>
  <c r="A378" i="1"/>
  <c r="J377" i="1"/>
  <c r="H377" i="1"/>
  <c r="A377" i="1"/>
  <c r="J376" i="1"/>
  <c r="H376" i="1"/>
  <c r="A376" i="1"/>
  <c r="J375" i="1"/>
  <c r="H375" i="1"/>
  <c r="A375" i="1"/>
  <c r="J374" i="1"/>
  <c r="H374" i="1"/>
  <c r="A374" i="1"/>
  <c r="J373" i="1"/>
  <c r="H373" i="1"/>
  <c r="A373" i="1"/>
  <c r="J372" i="1"/>
  <c r="H372" i="1"/>
  <c r="A372" i="1"/>
  <c r="J371" i="1"/>
  <c r="H371" i="1"/>
  <c r="A371" i="1"/>
  <c r="J370" i="1"/>
  <c r="H370" i="1"/>
  <c r="A370" i="1"/>
  <c r="J369" i="1"/>
  <c r="H369" i="1"/>
  <c r="A369" i="1"/>
  <c r="J368" i="1"/>
  <c r="H368" i="1"/>
  <c r="A368" i="1"/>
  <c r="J367" i="1"/>
  <c r="H367" i="1"/>
  <c r="A367" i="1"/>
  <c r="J366" i="1"/>
  <c r="H366" i="1"/>
  <c r="A366" i="1"/>
  <c r="J365" i="1"/>
  <c r="H365" i="1"/>
  <c r="A365" i="1"/>
  <c r="J364" i="1"/>
  <c r="H364" i="1"/>
  <c r="A364" i="1"/>
  <c r="J363" i="1"/>
  <c r="H363" i="1"/>
  <c r="A363" i="1"/>
  <c r="J362" i="1"/>
  <c r="H362" i="1"/>
  <c r="A362" i="1"/>
  <c r="J361" i="1"/>
  <c r="H361" i="1"/>
  <c r="A361" i="1"/>
  <c r="J360" i="1"/>
  <c r="H360" i="1"/>
  <c r="A360" i="1"/>
  <c r="J359" i="1"/>
  <c r="H359" i="1"/>
  <c r="A359" i="1"/>
  <c r="J358" i="1"/>
  <c r="H358" i="1"/>
  <c r="A358" i="1"/>
  <c r="J357" i="1"/>
  <c r="H357" i="1"/>
  <c r="A357" i="1"/>
  <c r="J356" i="1"/>
  <c r="H356" i="1"/>
  <c r="A356" i="1"/>
  <c r="J355" i="1"/>
  <c r="H355" i="1"/>
  <c r="A355" i="1"/>
  <c r="J354" i="1"/>
  <c r="H354" i="1"/>
  <c r="A354" i="1"/>
  <c r="J353" i="1"/>
  <c r="H353" i="1"/>
  <c r="A353" i="1"/>
  <c r="J352" i="1"/>
  <c r="H352" i="1"/>
  <c r="A352" i="1"/>
  <c r="J351" i="1"/>
  <c r="H351" i="1"/>
  <c r="A351" i="1"/>
  <c r="J350" i="1"/>
  <c r="H350" i="1"/>
  <c r="A350" i="1"/>
  <c r="J349" i="1"/>
  <c r="H349" i="1"/>
  <c r="A349" i="1"/>
  <c r="J348" i="1"/>
  <c r="H348" i="1"/>
  <c r="A348" i="1"/>
  <c r="J347" i="1"/>
  <c r="H347" i="1"/>
  <c r="A347" i="1"/>
  <c r="K346" i="1"/>
  <c r="J346" i="1"/>
  <c r="H346" i="1"/>
  <c r="A346" i="1"/>
  <c r="K345" i="1"/>
  <c r="J345" i="1"/>
  <c r="H345" i="1"/>
  <c r="A345" i="1"/>
  <c r="K344" i="1"/>
  <c r="J344" i="1"/>
  <c r="H344" i="1"/>
  <c r="A344" i="1"/>
  <c r="K343" i="1"/>
  <c r="J343" i="1"/>
  <c r="H343" i="1"/>
  <c r="A343" i="1"/>
  <c r="K342" i="1"/>
  <c r="J342" i="1"/>
  <c r="H342" i="1"/>
  <c r="A342" i="1"/>
  <c r="K341" i="1"/>
  <c r="J341" i="1"/>
  <c r="H341" i="1"/>
  <c r="A341" i="1"/>
  <c r="K340" i="1"/>
  <c r="J340" i="1"/>
  <c r="H340" i="1"/>
  <c r="A340" i="1"/>
  <c r="K339" i="1"/>
  <c r="J339" i="1"/>
  <c r="H339" i="1"/>
  <c r="A339" i="1"/>
  <c r="K338" i="1"/>
  <c r="J338" i="1"/>
  <c r="H338" i="1"/>
  <c r="A338" i="1"/>
  <c r="K337" i="1"/>
  <c r="J337" i="1"/>
  <c r="H337" i="1"/>
  <c r="A337" i="1"/>
  <c r="K336" i="1"/>
  <c r="J336" i="1"/>
  <c r="H336" i="1"/>
  <c r="A336" i="1"/>
  <c r="K335" i="1"/>
  <c r="J335" i="1"/>
  <c r="H335" i="1"/>
  <c r="A335" i="1"/>
  <c r="K334" i="1"/>
  <c r="J334" i="1"/>
  <c r="H334" i="1"/>
  <c r="A334" i="1"/>
  <c r="K333" i="1"/>
  <c r="J333" i="1"/>
  <c r="H333" i="1"/>
  <c r="A333" i="1"/>
  <c r="K332" i="1"/>
  <c r="J332" i="1"/>
  <c r="H332" i="1"/>
  <c r="A332" i="1"/>
  <c r="K331" i="1"/>
  <c r="J331" i="1"/>
  <c r="H331" i="1"/>
  <c r="A331" i="1"/>
  <c r="K330" i="1"/>
  <c r="J330" i="1"/>
  <c r="H330" i="1"/>
  <c r="A330" i="1"/>
  <c r="K329" i="1"/>
  <c r="J329" i="1"/>
  <c r="H329" i="1"/>
  <c r="A329" i="1"/>
  <c r="K328" i="1"/>
  <c r="J328" i="1"/>
  <c r="H328" i="1"/>
  <c r="A328" i="1"/>
  <c r="K327" i="1"/>
  <c r="J327" i="1"/>
  <c r="H327" i="1"/>
  <c r="A327" i="1"/>
  <c r="K326" i="1"/>
  <c r="J326" i="1"/>
  <c r="H326" i="1"/>
  <c r="A326" i="1"/>
  <c r="K325" i="1"/>
  <c r="J325" i="1"/>
  <c r="H325" i="1"/>
  <c r="A325" i="1"/>
  <c r="K324" i="1"/>
  <c r="J324" i="1"/>
  <c r="H324" i="1"/>
  <c r="A324" i="1"/>
  <c r="K323" i="1"/>
  <c r="J323" i="1"/>
  <c r="H323" i="1"/>
  <c r="A323" i="1"/>
  <c r="K322" i="1"/>
  <c r="J322" i="1"/>
  <c r="H322" i="1"/>
  <c r="A322" i="1"/>
  <c r="K321" i="1"/>
  <c r="J321" i="1"/>
  <c r="H321" i="1"/>
  <c r="A321" i="1"/>
  <c r="K320" i="1"/>
  <c r="J320" i="1"/>
  <c r="H320" i="1"/>
  <c r="A320" i="1"/>
  <c r="K319" i="1"/>
  <c r="J319" i="1"/>
  <c r="H319" i="1"/>
  <c r="A319" i="1"/>
  <c r="K318" i="1"/>
  <c r="J318" i="1"/>
  <c r="H318" i="1"/>
  <c r="A318" i="1"/>
  <c r="K317" i="1"/>
  <c r="J317" i="1"/>
  <c r="H317" i="1"/>
  <c r="A317" i="1"/>
  <c r="K316" i="1"/>
  <c r="J316" i="1"/>
  <c r="H316" i="1"/>
  <c r="A316" i="1"/>
  <c r="K315" i="1"/>
  <c r="J315" i="1"/>
  <c r="H315" i="1"/>
  <c r="A315" i="1"/>
  <c r="K314" i="1"/>
  <c r="J314" i="1"/>
  <c r="H314" i="1"/>
  <c r="A314" i="1"/>
  <c r="K313" i="1"/>
  <c r="J313" i="1"/>
  <c r="H313" i="1"/>
  <c r="A313" i="1"/>
  <c r="K312" i="1"/>
  <c r="J312" i="1"/>
  <c r="H312" i="1"/>
  <c r="A312" i="1"/>
  <c r="K311" i="1"/>
  <c r="J311" i="1"/>
  <c r="H311" i="1"/>
  <c r="A311" i="1"/>
  <c r="K310" i="1"/>
  <c r="J310" i="1"/>
  <c r="H310" i="1"/>
  <c r="A310" i="1"/>
  <c r="K309" i="1"/>
  <c r="J309" i="1"/>
  <c r="H309" i="1"/>
  <c r="A309" i="1"/>
  <c r="K308" i="1"/>
  <c r="J308" i="1"/>
  <c r="H308" i="1"/>
  <c r="A308" i="1"/>
  <c r="K307" i="1"/>
  <c r="J307" i="1"/>
  <c r="H307" i="1"/>
  <c r="A307" i="1"/>
  <c r="K306" i="1"/>
  <c r="J306" i="1"/>
  <c r="H306" i="1"/>
  <c r="A306" i="1"/>
  <c r="K305" i="1"/>
  <c r="J305" i="1"/>
  <c r="H305" i="1"/>
  <c r="A305" i="1"/>
  <c r="K304" i="1"/>
  <c r="J304" i="1"/>
  <c r="H304" i="1"/>
  <c r="A304" i="1"/>
  <c r="N303" i="1"/>
  <c r="K303" i="1"/>
  <c r="J303" i="1"/>
  <c r="H303" i="1"/>
  <c r="A303" i="1"/>
  <c r="N302" i="1"/>
  <c r="K302" i="1"/>
  <c r="J302" i="1"/>
  <c r="H302" i="1"/>
  <c r="A302" i="1"/>
  <c r="K301" i="1"/>
  <c r="J301" i="1"/>
  <c r="H301" i="1"/>
  <c r="A301" i="1"/>
  <c r="K300" i="1"/>
  <c r="J300" i="1"/>
  <c r="H300" i="1"/>
  <c r="A300" i="1"/>
  <c r="K299" i="1"/>
  <c r="J299" i="1"/>
  <c r="H299" i="1"/>
  <c r="A299" i="1"/>
  <c r="K298" i="1"/>
  <c r="J298" i="1"/>
  <c r="H298" i="1"/>
  <c r="A298" i="1"/>
  <c r="K297" i="1"/>
  <c r="J297" i="1"/>
  <c r="H297" i="1"/>
  <c r="A297" i="1"/>
  <c r="K296" i="1"/>
  <c r="J296" i="1"/>
  <c r="H296" i="1"/>
  <c r="A296" i="1"/>
  <c r="K295" i="1"/>
  <c r="J295" i="1"/>
  <c r="H295" i="1"/>
  <c r="A295" i="1"/>
  <c r="K294" i="1"/>
  <c r="J294" i="1"/>
  <c r="H294" i="1"/>
  <c r="A294" i="1"/>
  <c r="K293" i="1"/>
  <c r="J293" i="1"/>
  <c r="H293" i="1"/>
  <c r="A293" i="1"/>
  <c r="K292" i="1"/>
  <c r="J292" i="1"/>
  <c r="H292" i="1"/>
  <c r="A292" i="1"/>
  <c r="K291" i="1"/>
  <c r="J291" i="1"/>
  <c r="H291" i="1"/>
  <c r="A291" i="1"/>
  <c r="K290" i="1"/>
  <c r="J290" i="1"/>
  <c r="H290" i="1"/>
  <c r="A290" i="1"/>
  <c r="K289" i="1"/>
  <c r="J289" i="1"/>
  <c r="H289" i="1"/>
  <c r="A289" i="1"/>
  <c r="K288" i="1"/>
  <c r="J288" i="1"/>
  <c r="H288" i="1"/>
  <c r="A288" i="1"/>
  <c r="K287" i="1"/>
  <c r="J287" i="1"/>
  <c r="H287" i="1"/>
  <c r="A287" i="1"/>
  <c r="K286" i="1"/>
  <c r="J286" i="1"/>
  <c r="H286" i="1"/>
  <c r="A286" i="1"/>
  <c r="K285" i="1"/>
  <c r="J285" i="1"/>
  <c r="H285" i="1"/>
  <c r="A285" i="1"/>
  <c r="K284" i="1"/>
  <c r="J284" i="1"/>
  <c r="H284" i="1"/>
  <c r="A284" i="1"/>
  <c r="K283" i="1"/>
  <c r="J283" i="1"/>
  <c r="H283" i="1"/>
  <c r="A283" i="1"/>
  <c r="K282" i="1"/>
  <c r="J282" i="1"/>
  <c r="H282" i="1"/>
  <c r="A282" i="1"/>
  <c r="K281" i="1"/>
  <c r="J281" i="1"/>
  <c r="H281" i="1"/>
  <c r="A281" i="1"/>
  <c r="K280" i="1"/>
  <c r="J280" i="1"/>
  <c r="H280" i="1"/>
  <c r="A280" i="1"/>
  <c r="K279" i="1"/>
  <c r="J279" i="1"/>
  <c r="H279" i="1"/>
  <c r="A279" i="1"/>
  <c r="K278" i="1"/>
  <c r="J278" i="1"/>
  <c r="H278" i="1"/>
  <c r="A278" i="1"/>
  <c r="K277" i="1"/>
  <c r="J277" i="1"/>
  <c r="H277" i="1"/>
  <c r="A277" i="1"/>
  <c r="K276" i="1"/>
  <c r="J276" i="1"/>
  <c r="H276" i="1"/>
  <c r="A276" i="1"/>
  <c r="K275" i="1"/>
  <c r="J275" i="1"/>
  <c r="H275" i="1"/>
  <c r="A275" i="1"/>
  <c r="K274" i="1"/>
  <c r="J274" i="1"/>
  <c r="H274" i="1"/>
  <c r="A274" i="1"/>
  <c r="K273" i="1"/>
  <c r="J273" i="1"/>
  <c r="H273" i="1"/>
  <c r="A273" i="1"/>
  <c r="K272" i="1"/>
  <c r="J272" i="1"/>
  <c r="H272" i="1"/>
  <c r="A272" i="1"/>
  <c r="K271" i="1"/>
  <c r="J271" i="1"/>
  <c r="H271" i="1"/>
  <c r="A271" i="1"/>
  <c r="K270" i="1"/>
  <c r="J270" i="1"/>
  <c r="H270" i="1"/>
  <c r="A270" i="1"/>
  <c r="K269" i="1"/>
  <c r="J269" i="1"/>
  <c r="H269" i="1"/>
  <c r="A269" i="1"/>
  <c r="K268" i="1"/>
  <c r="J268" i="1"/>
  <c r="H268" i="1"/>
  <c r="A268" i="1"/>
  <c r="K267" i="1"/>
  <c r="J267" i="1"/>
  <c r="H267" i="1"/>
  <c r="A267" i="1"/>
  <c r="K266" i="1"/>
  <c r="J266" i="1"/>
  <c r="H266" i="1"/>
  <c r="A266" i="1"/>
  <c r="K265" i="1"/>
  <c r="J265" i="1"/>
  <c r="H265" i="1"/>
  <c r="A265" i="1"/>
  <c r="K264" i="1"/>
  <c r="J264" i="1"/>
  <c r="H264" i="1"/>
  <c r="A264" i="1"/>
  <c r="K263" i="1"/>
  <c r="J263" i="1"/>
  <c r="H263" i="1"/>
  <c r="A263" i="1"/>
  <c r="K262" i="1"/>
  <c r="J262" i="1"/>
  <c r="H262" i="1"/>
  <c r="A262" i="1"/>
  <c r="K261" i="1"/>
  <c r="J261" i="1"/>
  <c r="H261" i="1"/>
  <c r="A261" i="1"/>
  <c r="K260" i="1"/>
  <c r="J260" i="1"/>
  <c r="H260" i="1"/>
  <c r="A260" i="1"/>
  <c r="K259" i="1"/>
  <c r="J259" i="1"/>
  <c r="H259" i="1"/>
  <c r="A259" i="1"/>
  <c r="K258" i="1"/>
  <c r="J258" i="1"/>
  <c r="H258" i="1"/>
  <c r="A258" i="1"/>
  <c r="K257" i="1"/>
  <c r="J257" i="1"/>
  <c r="H257" i="1"/>
  <c r="A257" i="1"/>
  <c r="K256" i="1"/>
  <c r="J256" i="1"/>
  <c r="H256" i="1"/>
  <c r="A256" i="1"/>
  <c r="K255" i="1"/>
  <c r="J255" i="1"/>
  <c r="H255" i="1"/>
  <c r="A255" i="1"/>
  <c r="K254" i="1"/>
  <c r="J254" i="1"/>
  <c r="H254" i="1"/>
  <c r="A254" i="1"/>
  <c r="K253" i="1"/>
  <c r="J253" i="1"/>
  <c r="H253" i="1"/>
  <c r="A253" i="1"/>
  <c r="K252" i="1"/>
  <c r="J252" i="1"/>
  <c r="H252" i="1"/>
  <c r="A252" i="1"/>
  <c r="K251" i="1"/>
  <c r="J251" i="1"/>
  <c r="H251" i="1"/>
  <c r="A251" i="1"/>
  <c r="K250" i="1"/>
  <c r="J250" i="1"/>
  <c r="H250" i="1"/>
  <c r="A250" i="1"/>
  <c r="K249" i="1"/>
  <c r="J249" i="1"/>
  <c r="H249" i="1"/>
  <c r="A249" i="1"/>
  <c r="K248" i="1"/>
  <c r="J248" i="1"/>
  <c r="H248" i="1"/>
  <c r="A248" i="1"/>
  <c r="K247" i="1"/>
  <c r="J247" i="1"/>
  <c r="H247" i="1"/>
  <c r="A247" i="1"/>
  <c r="K246" i="1"/>
  <c r="J246" i="1"/>
  <c r="H246" i="1"/>
  <c r="A246" i="1"/>
  <c r="K245" i="1"/>
  <c r="J245" i="1"/>
  <c r="H245" i="1"/>
  <c r="A245" i="1"/>
  <c r="K244" i="1"/>
  <c r="J244" i="1"/>
  <c r="H244" i="1"/>
  <c r="A244" i="1"/>
  <c r="K243" i="1"/>
  <c r="J243" i="1"/>
  <c r="H243" i="1"/>
  <c r="A243" i="1"/>
  <c r="K242" i="1"/>
  <c r="J242" i="1"/>
  <c r="H242" i="1"/>
  <c r="A242" i="1"/>
  <c r="K241" i="1"/>
  <c r="J241" i="1"/>
  <c r="H241" i="1"/>
  <c r="A241" i="1"/>
  <c r="K240" i="1"/>
  <c r="J240" i="1"/>
  <c r="H240" i="1"/>
  <c r="A240" i="1"/>
  <c r="K239" i="1"/>
  <c r="J239" i="1"/>
  <c r="H239" i="1"/>
  <c r="A239" i="1"/>
  <c r="K238" i="1"/>
  <c r="J238" i="1"/>
  <c r="H238" i="1"/>
  <c r="A238" i="1"/>
  <c r="K237" i="1"/>
  <c r="J237" i="1"/>
  <c r="H237" i="1"/>
  <c r="A237" i="1"/>
  <c r="K236" i="1"/>
  <c r="J236" i="1"/>
  <c r="H236" i="1"/>
  <c r="A236" i="1"/>
  <c r="K235" i="1"/>
  <c r="J235" i="1"/>
  <c r="H235" i="1"/>
  <c r="A235" i="1"/>
  <c r="K234" i="1"/>
  <c r="J234" i="1"/>
  <c r="H234" i="1"/>
  <c r="A234" i="1"/>
  <c r="K233" i="1"/>
  <c r="J233" i="1"/>
  <c r="H233" i="1"/>
  <c r="A233" i="1"/>
  <c r="K232" i="1"/>
  <c r="J232" i="1"/>
  <c r="H232" i="1"/>
  <c r="A232" i="1"/>
  <c r="K231" i="1"/>
  <c r="J231" i="1"/>
  <c r="H231" i="1"/>
  <c r="A231" i="1"/>
  <c r="K230" i="1"/>
  <c r="J230" i="1"/>
  <c r="H230" i="1"/>
  <c r="A230" i="1"/>
  <c r="K229" i="1"/>
  <c r="J229" i="1"/>
  <c r="H229" i="1"/>
  <c r="A229" i="1"/>
  <c r="K228" i="1"/>
  <c r="J228" i="1"/>
  <c r="H228" i="1"/>
  <c r="A228" i="1"/>
  <c r="K227" i="1"/>
  <c r="J227" i="1"/>
  <c r="H227" i="1"/>
  <c r="A227" i="1"/>
  <c r="K226" i="1"/>
  <c r="J226" i="1"/>
  <c r="H226" i="1"/>
  <c r="A226" i="1"/>
  <c r="K225" i="1"/>
  <c r="J225" i="1"/>
  <c r="H225" i="1"/>
  <c r="A225" i="1"/>
  <c r="K224" i="1"/>
  <c r="J224" i="1"/>
  <c r="H224" i="1"/>
  <c r="A224" i="1"/>
  <c r="K223" i="1"/>
  <c r="J223" i="1"/>
  <c r="H223" i="1"/>
  <c r="A223" i="1"/>
  <c r="K222" i="1"/>
  <c r="J222" i="1"/>
  <c r="H222" i="1"/>
  <c r="A222" i="1"/>
  <c r="K221" i="1"/>
  <c r="J221" i="1"/>
  <c r="H221" i="1"/>
  <c r="A221" i="1"/>
  <c r="K220" i="1"/>
  <c r="J220" i="1"/>
  <c r="H220" i="1"/>
  <c r="A220" i="1"/>
  <c r="K219" i="1"/>
  <c r="J219" i="1"/>
  <c r="H219" i="1"/>
  <c r="A219" i="1"/>
  <c r="K218" i="1"/>
  <c r="J218" i="1"/>
  <c r="H218" i="1"/>
  <c r="A218" i="1"/>
  <c r="K217" i="1"/>
  <c r="J217" i="1"/>
  <c r="H217" i="1"/>
  <c r="A217" i="1"/>
  <c r="K216" i="1"/>
  <c r="J216" i="1"/>
  <c r="H216" i="1"/>
  <c r="A216" i="1"/>
  <c r="K215" i="1"/>
  <c r="J215" i="1"/>
  <c r="H215" i="1"/>
  <c r="A215" i="1"/>
  <c r="K214" i="1"/>
  <c r="J214" i="1"/>
  <c r="H214" i="1"/>
  <c r="A214" i="1"/>
  <c r="K213" i="1"/>
  <c r="J213" i="1"/>
  <c r="H213" i="1"/>
  <c r="A213" i="1"/>
  <c r="K212" i="1"/>
  <c r="J212" i="1"/>
  <c r="H212" i="1"/>
  <c r="A212" i="1"/>
  <c r="K211" i="1"/>
  <c r="J211" i="1"/>
  <c r="H211" i="1"/>
  <c r="A211" i="1"/>
  <c r="K210" i="1"/>
  <c r="J210" i="1"/>
  <c r="H210" i="1"/>
  <c r="A210" i="1"/>
  <c r="K209" i="1"/>
  <c r="J209" i="1"/>
  <c r="H209" i="1"/>
  <c r="A209" i="1"/>
  <c r="K208" i="1"/>
  <c r="J208" i="1"/>
  <c r="H208" i="1"/>
  <c r="A208" i="1"/>
  <c r="K207" i="1"/>
  <c r="J207" i="1"/>
  <c r="H207" i="1"/>
  <c r="A207" i="1"/>
  <c r="K206" i="1"/>
  <c r="J206" i="1"/>
  <c r="H206" i="1"/>
  <c r="A206" i="1"/>
  <c r="K205" i="1"/>
  <c r="J205" i="1"/>
  <c r="H205" i="1"/>
  <c r="A205" i="1"/>
  <c r="K204" i="1"/>
  <c r="J204" i="1"/>
  <c r="H204" i="1"/>
  <c r="A204" i="1"/>
  <c r="K203" i="1"/>
  <c r="J203" i="1"/>
  <c r="H203" i="1"/>
  <c r="A203" i="1"/>
  <c r="K202" i="1"/>
  <c r="J202" i="1"/>
  <c r="H202" i="1"/>
  <c r="A202" i="1"/>
  <c r="K201" i="1"/>
  <c r="J201" i="1"/>
  <c r="H201" i="1"/>
  <c r="A201" i="1"/>
  <c r="K200" i="1"/>
  <c r="J200" i="1"/>
  <c r="H200" i="1"/>
  <c r="A200" i="1"/>
  <c r="K199" i="1"/>
  <c r="J199" i="1"/>
  <c r="H199" i="1"/>
  <c r="A199" i="1"/>
  <c r="K198" i="1"/>
  <c r="J198" i="1"/>
  <c r="H198" i="1"/>
  <c r="A198" i="1"/>
  <c r="K197" i="1"/>
  <c r="J197" i="1"/>
  <c r="H197" i="1"/>
  <c r="A197" i="1"/>
  <c r="K196" i="1"/>
  <c r="J196" i="1"/>
  <c r="H196" i="1"/>
  <c r="A196" i="1"/>
  <c r="K195" i="1"/>
  <c r="J195" i="1"/>
  <c r="H195" i="1"/>
  <c r="A195" i="1"/>
  <c r="K194" i="1"/>
  <c r="J194" i="1"/>
  <c r="H194" i="1"/>
  <c r="A194" i="1"/>
  <c r="K193" i="1"/>
  <c r="J193" i="1"/>
  <c r="H193" i="1"/>
  <c r="A193" i="1"/>
  <c r="K192" i="1"/>
  <c r="J192" i="1"/>
  <c r="H192" i="1"/>
  <c r="A192" i="1"/>
  <c r="K191" i="1"/>
  <c r="J191" i="1"/>
  <c r="H191" i="1"/>
  <c r="A191" i="1"/>
  <c r="K190" i="1"/>
  <c r="J190" i="1"/>
  <c r="H190" i="1"/>
  <c r="A190" i="1"/>
  <c r="K189" i="1"/>
  <c r="J189" i="1"/>
  <c r="H189" i="1"/>
  <c r="A189" i="1"/>
  <c r="K188" i="1"/>
  <c r="J188" i="1"/>
  <c r="H188" i="1"/>
  <c r="A188" i="1"/>
  <c r="K187" i="1"/>
  <c r="J187" i="1"/>
  <c r="H187" i="1"/>
  <c r="A187" i="1"/>
  <c r="K186" i="1"/>
  <c r="J186" i="1"/>
  <c r="H186" i="1"/>
  <c r="A186" i="1"/>
  <c r="K185" i="1"/>
  <c r="J185" i="1"/>
  <c r="H185" i="1"/>
  <c r="A185" i="1"/>
  <c r="K184" i="1"/>
  <c r="J184" i="1"/>
  <c r="H184" i="1"/>
  <c r="A184" i="1"/>
  <c r="K183" i="1"/>
  <c r="J183" i="1"/>
  <c r="H183" i="1"/>
  <c r="A183" i="1"/>
  <c r="K182" i="1"/>
  <c r="J182" i="1"/>
  <c r="H182" i="1"/>
  <c r="A182" i="1"/>
  <c r="K181" i="1"/>
  <c r="J181" i="1"/>
  <c r="H181" i="1"/>
  <c r="A181" i="1"/>
  <c r="K180" i="1"/>
  <c r="J180" i="1"/>
  <c r="H180" i="1"/>
  <c r="A180" i="1"/>
  <c r="K179" i="1"/>
  <c r="J179" i="1"/>
  <c r="H179" i="1"/>
  <c r="A179" i="1"/>
  <c r="K178" i="1"/>
  <c r="J178" i="1"/>
  <c r="H178" i="1"/>
  <c r="A178" i="1"/>
  <c r="K177" i="1"/>
  <c r="J177" i="1"/>
  <c r="H177" i="1"/>
  <c r="A177" i="1"/>
  <c r="K176" i="1"/>
  <c r="J176" i="1"/>
  <c r="H176" i="1"/>
  <c r="A176" i="1"/>
  <c r="K175" i="1"/>
  <c r="J175" i="1"/>
  <c r="H175" i="1"/>
  <c r="A175" i="1"/>
  <c r="K174" i="1"/>
  <c r="J174" i="1"/>
  <c r="H174" i="1"/>
  <c r="A174" i="1"/>
  <c r="K173" i="1"/>
  <c r="J173" i="1"/>
  <c r="H173" i="1"/>
  <c r="A173" i="1"/>
  <c r="K172" i="1"/>
  <c r="J172" i="1"/>
  <c r="H172" i="1"/>
  <c r="A172" i="1"/>
  <c r="K171" i="1"/>
  <c r="J171" i="1"/>
  <c r="H171" i="1"/>
  <c r="A171" i="1"/>
  <c r="K170" i="1"/>
  <c r="J170" i="1"/>
  <c r="H170" i="1"/>
  <c r="A170" i="1"/>
  <c r="K169" i="1"/>
  <c r="J169" i="1"/>
  <c r="H169" i="1"/>
  <c r="A169" i="1"/>
  <c r="K168" i="1"/>
  <c r="J168" i="1"/>
  <c r="H168" i="1"/>
  <c r="A168" i="1"/>
  <c r="K167" i="1"/>
  <c r="J167" i="1"/>
  <c r="H167" i="1"/>
  <c r="A167" i="1"/>
  <c r="K166" i="1"/>
  <c r="J166" i="1"/>
  <c r="H166" i="1"/>
  <c r="A166" i="1"/>
  <c r="K165" i="1"/>
  <c r="J165" i="1"/>
  <c r="H165" i="1"/>
  <c r="A165" i="1"/>
  <c r="K164" i="1"/>
  <c r="J164" i="1"/>
  <c r="H164" i="1"/>
  <c r="A164" i="1"/>
  <c r="K163" i="1"/>
  <c r="J163" i="1"/>
  <c r="H163" i="1"/>
  <c r="A163" i="1"/>
  <c r="K162" i="1"/>
  <c r="J162" i="1"/>
  <c r="H162" i="1"/>
  <c r="A162" i="1"/>
  <c r="K161" i="1"/>
  <c r="J161" i="1"/>
  <c r="H161" i="1"/>
  <c r="A161" i="1"/>
  <c r="K160" i="1"/>
  <c r="J160" i="1"/>
  <c r="H160" i="1"/>
  <c r="A160" i="1"/>
  <c r="K159" i="1"/>
  <c r="J159" i="1"/>
  <c r="H159" i="1"/>
  <c r="A159" i="1"/>
  <c r="K158" i="1"/>
  <c r="J158" i="1"/>
  <c r="H158" i="1"/>
  <c r="A158" i="1"/>
  <c r="K157" i="1"/>
  <c r="J157" i="1"/>
  <c r="H157" i="1"/>
  <c r="A157" i="1"/>
  <c r="K156" i="1"/>
  <c r="J156" i="1"/>
  <c r="H156" i="1"/>
  <c r="A156" i="1"/>
  <c r="K155" i="1"/>
  <c r="J155" i="1"/>
  <c r="H155" i="1"/>
  <c r="A155" i="1"/>
  <c r="K154" i="1"/>
  <c r="J154" i="1"/>
  <c r="H154" i="1"/>
  <c r="A154" i="1"/>
  <c r="K153" i="1"/>
  <c r="J153" i="1"/>
  <c r="H153" i="1"/>
  <c r="A153" i="1"/>
  <c r="K152" i="1"/>
  <c r="J152" i="1"/>
  <c r="H152" i="1"/>
  <c r="A152" i="1"/>
  <c r="K151" i="1"/>
  <c r="J151" i="1"/>
  <c r="H151" i="1"/>
  <c r="A151" i="1"/>
  <c r="K150" i="1"/>
  <c r="J150" i="1"/>
  <c r="H150" i="1"/>
  <c r="A150" i="1"/>
  <c r="K149" i="1"/>
  <c r="J149" i="1"/>
  <c r="H149" i="1"/>
  <c r="A149" i="1"/>
  <c r="K148" i="1"/>
  <c r="J148" i="1"/>
  <c r="H148" i="1"/>
  <c r="A148" i="1"/>
  <c r="K147" i="1"/>
  <c r="J147" i="1"/>
  <c r="H147" i="1"/>
  <c r="A147" i="1"/>
  <c r="K146" i="1"/>
  <c r="J146" i="1"/>
  <c r="H146" i="1"/>
  <c r="A146" i="1"/>
  <c r="K145" i="1"/>
  <c r="J145" i="1"/>
  <c r="H145" i="1"/>
  <c r="A145" i="1"/>
  <c r="K144" i="1"/>
  <c r="J144" i="1"/>
  <c r="H144" i="1"/>
  <c r="A144" i="1"/>
  <c r="K143" i="1"/>
  <c r="J143" i="1"/>
  <c r="H143" i="1"/>
  <c r="A143" i="1"/>
  <c r="K142" i="1"/>
  <c r="J142" i="1"/>
  <c r="H142" i="1"/>
  <c r="A142" i="1"/>
  <c r="K141" i="1"/>
  <c r="J141" i="1"/>
  <c r="H141" i="1"/>
  <c r="A141" i="1"/>
  <c r="K140" i="1"/>
  <c r="J140" i="1"/>
  <c r="H140" i="1"/>
  <c r="A140" i="1"/>
  <c r="K139" i="1"/>
  <c r="J139" i="1"/>
  <c r="H139" i="1"/>
  <c r="A139" i="1"/>
  <c r="K138" i="1"/>
  <c r="J138" i="1"/>
  <c r="H138" i="1"/>
  <c r="A138" i="1"/>
  <c r="K137" i="1"/>
  <c r="J137" i="1"/>
  <c r="H137" i="1"/>
  <c r="A137" i="1"/>
  <c r="K136" i="1"/>
  <c r="J136" i="1"/>
  <c r="H136" i="1"/>
  <c r="A136" i="1"/>
  <c r="K135" i="1"/>
  <c r="J135" i="1"/>
  <c r="H135" i="1"/>
  <c r="A135" i="1"/>
  <c r="K134" i="1"/>
  <c r="J134" i="1"/>
  <c r="H134" i="1"/>
  <c r="A134" i="1"/>
  <c r="K133" i="1"/>
  <c r="J133" i="1"/>
  <c r="H133" i="1"/>
  <c r="A133" i="1"/>
  <c r="K132" i="1"/>
  <c r="J132" i="1"/>
  <c r="H132" i="1"/>
  <c r="A132" i="1"/>
  <c r="K131" i="1"/>
  <c r="J131" i="1"/>
  <c r="H131" i="1"/>
  <c r="A131" i="1"/>
  <c r="K130" i="1"/>
  <c r="J130" i="1"/>
  <c r="H130" i="1"/>
  <c r="A130" i="1"/>
  <c r="K129" i="1"/>
  <c r="J129" i="1"/>
  <c r="H129" i="1"/>
  <c r="A129" i="1"/>
  <c r="K128" i="1"/>
  <c r="J128" i="1"/>
  <c r="H128" i="1"/>
  <c r="A128" i="1"/>
  <c r="K127" i="1"/>
  <c r="J127" i="1"/>
  <c r="H127" i="1"/>
  <c r="A127" i="1"/>
  <c r="K126" i="1"/>
  <c r="J126" i="1"/>
  <c r="H126" i="1"/>
  <c r="A126" i="1"/>
  <c r="K125" i="1"/>
  <c r="J125" i="1"/>
  <c r="H125" i="1"/>
  <c r="A125" i="1"/>
  <c r="K124" i="1"/>
  <c r="J124" i="1"/>
  <c r="H124" i="1"/>
  <c r="A124" i="1"/>
  <c r="K123" i="1"/>
  <c r="J123" i="1"/>
  <c r="H123" i="1"/>
  <c r="A123" i="1"/>
  <c r="K122" i="1"/>
  <c r="J122" i="1"/>
  <c r="H122" i="1"/>
  <c r="A122" i="1"/>
  <c r="K121" i="1"/>
  <c r="J121" i="1"/>
  <c r="H121" i="1"/>
  <c r="A121" i="1"/>
  <c r="K120" i="1"/>
  <c r="J120" i="1"/>
  <c r="H120" i="1"/>
  <c r="A120" i="1"/>
  <c r="K119" i="1"/>
  <c r="J119" i="1"/>
  <c r="H119" i="1"/>
  <c r="A119" i="1"/>
  <c r="K118" i="1"/>
  <c r="J118" i="1"/>
  <c r="H118" i="1"/>
  <c r="A118" i="1"/>
  <c r="K117" i="1"/>
  <c r="J117" i="1"/>
  <c r="H117" i="1"/>
  <c r="A117" i="1"/>
  <c r="K116" i="1"/>
  <c r="J116" i="1"/>
  <c r="H116" i="1"/>
  <c r="A116" i="1"/>
  <c r="K115" i="1"/>
  <c r="J115" i="1"/>
  <c r="H115" i="1"/>
  <c r="A115" i="1"/>
  <c r="K114" i="1"/>
  <c r="J114" i="1"/>
  <c r="H114" i="1"/>
  <c r="A114" i="1"/>
  <c r="K113" i="1"/>
  <c r="J113" i="1"/>
  <c r="H113" i="1"/>
  <c r="A113" i="1"/>
  <c r="K112" i="1"/>
  <c r="J112" i="1"/>
  <c r="H112" i="1"/>
  <c r="A112" i="1"/>
  <c r="K111" i="1"/>
  <c r="J111" i="1"/>
  <c r="H111" i="1"/>
  <c r="A111" i="1"/>
  <c r="K110" i="1"/>
  <c r="J110" i="1"/>
  <c r="H110" i="1"/>
  <c r="A110" i="1"/>
  <c r="K109" i="1"/>
  <c r="J109" i="1"/>
  <c r="H109" i="1"/>
  <c r="A109" i="1"/>
  <c r="K108" i="1"/>
  <c r="J108" i="1"/>
  <c r="H108" i="1"/>
  <c r="A108" i="1"/>
  <c r="K107" i="1"/>
  <c r="J107" i="1"/>
  <c r="H107" i="1"/>
  <c r="A107" i="1"/>
  <c r="K106" i="1"/>
  <c r="J106" i="1"/>
  <c r="H106" i="1"/>
  <c r="A106" i="1"/>
  <c r="K105" i="1"/>
  <c r="J105" i="1"/>
  <c r="H105" i="1"/>
  <c r="A105" i="1"/>
  <c r="K104" i="1"/>
  <c r="J104" i="1"/>
  <c r="H104" i="1"/>
  <c r="A104" i="1"/>
  <c r="K103" i="1"/>
  <c r="J103" i="1"/>
  <c r="H103" i="1"/>
  <c r="A103" i="1"/>
  <c r="K102" i="1"/>
  <c r="J102" i="1"/>
  <c r="H102" i="1"/>
  <c r="A102" i="1"/>
  <c r="K101" i="1"/>
  <c r="J101" i="1"/>
  <c r="H101" i="1"/>
  <c r="A101" i="1"/>
  <c r="K100" i="1"/>
  <c r="J100" i="1"/>
  <c r="H100" i="1"/>
  <c r="A100" i="1"/>
  <c r="K99" i="1"/>
  <c r="J99" i="1"/>
  <c r="H99" i="1"/>
  <c r="A99" i="1"/>
  <c r="K98" i="1"/>
  <c r="J98" i="1"/>
  <c r="H98" i="1"/>
  <c r="A98" i="1"/>
  <c r="K97" i="1"/>
  <c r="J97" i="1"/>
  <c r="H97" i="1"/>
  <c r="A97" i="1"/>
  <c r="K96" i="1"/>
  <c r="J96" i="1"/>
  <c r="H96" i="1"/>
  <c r="A96" i="1"/>
  <c r="K95" i="1"/>
  <c r="J95" i="1"/>
  <c r="H95" i="1"/>
  <c r="A95" i="1"/>
  <c r="K94" i="1"/>
  <c r="J94" i="1"/>
  <c r="H94" i="1"/>
  <c r="A94" i="1"/>
  <c r="K93" i="1"/>
  <c r="J93" i="1"/>
  <c r="H93" i="1"/>
  <c r="A93" i="1"/>
  <c r="K92" i="1"/>
  <c r="J92" i="1"/>
  <c r="H92" i="1"/>
  <c r="A92" i="1"/>
  <c r="K91" i="1"/>
  <c r="J91" i="1"/>
  <c r="H91" i="1"/>
  <c r="A91" i="1"/>
  <c r="K90" i="1"/>
  <c r="J90" i="1"/>
  <c r="H90" i="1"/>
  <c r="A90" i="1"/>
  <c r="K89" i="1"/>
  <c r="J89" i="1"/>
  <c r="H89" i="1"/>
  <c r="A89" i="1"/>
  <c r="K88" i="1"/>
  <c r="J88" i="1"/>
  <c r="H88" i="1"/>
  <c r="A88" i="1"/>
  <c r="K87" i="1"/>
  <c r="J87" i="1"/>
  <c r="H87" i="1"/>
  <c r="A87" i="1"/>
  <c r="K86" i="1"/>
  <c r="J86" i="1"/>
  <c r="H86" i="1"/>
  <c r="A86" i="1"/>
  <c r="K85" i="1"/>
  <c r="J85" i="1"/>
  <c r="H85" i="1"/>
  <c r="A85" i="1"/>
  <c r="K84" i="1"/>
  <c r="J84" i="1"/>
  <c r="H84" i="1"/>
  <c r="A84" i="1"/>
  <c r="K83" i="1"/>
  <c r="J83" i="1"/>
  <c r="H83" i="1"/>
  <c r="A83" i="1"/>
  <c r="K82" i="1"/>
  <c r="J82" i="1"/>
  <c r="H82" i="1"/>
  <c r="A82" i="1"/>
  <c r="K81" i="1"/>
  <c r="J81" i="1"/>
  <c r="H81" i="1"/>
  <c r="A81" i="1"/>
  <c r="K80" i="1"/>
  <c r="J80" i="1"/>
  <c r="H80" i="1"/>
  <c r="A80" i="1"/>
  <c r="K79" i="1"/>
  <c r="J79" i="1"/>
  <c r="H79" i="1"/>
  <c r="A79" i="1"/>
  <c r="K78" i="1"/>
  <c r="J78" i="1"/>
  <c r="H78" i="1"/>
  <c r="A78" i="1"/>
  <c r="K77" i="1"/>
  <c r="J77" i="1"/>
  <c r="H77" i="1"/>
  <c r="A77" i="1"/>
  <c r="K76" i="1"/>
  <c r="J76" i="1"/>
  <c r="H76" i="1"/>
  <c r="A76" i="1"/>
  <c r="K75" i="1"/>
  <c r="J75" i="1"/>
  <c r="H75" i="1"/>
  <c r="A75" i="1"/>
  <c r="K74" i="1"/>
  <c r="J74" i="1"/>
  <c r="H74" i="1"/>
  <c r="A74" i="1"/>
  <c r="K73" i="1"/>
  <c r="J73" i="1"/>
  <c r="H73" i="1"/>
  <c r="A73" i="1"/>
  <c r="K72" i="1"/>
  <c r="J72" i="1"/>
  <c r="H72" i="1"/>
  <c r="A72" i="1"/>
  <c r="K71" i="1"/>
  <c r="J71" i="1"/>
  <c r="H71" i="1"/>
  <c r="A71" i="1"/>
  <c r="K70" i="1"/>
  <c r="J70" i="1"/>
  <c r="H70" i="1"/>
  <c r="A70" i="1"/>
  <c r="K69" i="1"/>
  <c r="J69" i="1"/>
  <c r="H69" i="1"/>
  <c r="A69" i="1"/>
  <c r="K68" i="1"/>
  <c r="J68" i="1"/>
  <c r="H68" i="1"/>
  <c r="A68" i="1"/>
  <c r="K67" i="1"/>
  <c r="J67" i="1"/>
  <c r="H67" i="1"/>
  <c r="A67" i="1"/>
  <c r="K66" i="1"/>
  <c r="J66" i="1"/>
  <c r="H66" i="1"/>
  <c r="A66" i="1"/>
  <c r="K65" i="1"/>
  <c r="J65" i="1"/>
  <c r="H65" i="1"/>
  <c r="A65" i="1"/>
  <c r="K64" i="1"/>
  <c r="J64" i="1"/>
  <c r="H64" i="1"/>
  <c r="A64" i="1"/>
  <c r="K63" i="1"/>
  <c r="J63" i="1"/>
  <c r="H63" i="1"/>
  <c r="A63" i="1"/>
  <c r="K62" i="1"/>
  <c r="J62" i="1"/>
  <c r="H62" i="1"/>
  <c r="A62" i="1"/>
  <c r="K61" i="1"/>
  <c r="J61" i="1"/>
  <c r="H61" i="1"/>
  <c r="A61" i="1"/>
  <c r="K60" i="1"/>
  <c r="J60" i="1"/>
  <c r="H60" i="1"/>
  <c r="A60" i="1"/>
  <c r="K59" i="1"/>
  <c r="J59" i="1"/>
  <c r="H59" i="1"/>
  <c r="A59" i="1"/>
  <c r="K58" i="1"/>
  <c r="J58" i="1"/>
  <c r="H58" i="1"/>
  <c r="A58" i="1"/>
  <c r="K57" i="1"/>
  <c r="J57" i="1"/>
  <c r="H57" i="1"/>
  <c r="A57" i="1"/>
  <c r="K56" i="1"/>
  <c r="J56" i="1"/>
  <c r="H56" i="1"/>
  <c r="A56" i="1"/>
  <c r="K55" i="1"/>
  <c r="J55" i="1"/>
  <c r="H55" i="1"/>
  <c r="A55" i="1"/>
  <c r="K54" i="1"/>
  <c r="J54" i="1"/>
  <c r="H54" i="1"/>
  <c r="A54" i="1"/>
  <c r="K53" i="1"/>
  <c r="J53" i="1"/>
  <c r="H53" i="1"/>
  <c r="A53" i="1"/>
  <c r="K52" i="1"/>
  <c r="J52" i="1"/>
  <c r="H52" i="1"/>
  <c r="A52" i="1"/>
  <c r="K51" i="1"/>
  <c r="J51" i="1"/>
  <c r="H51" i="1"/>
  <c r="A51" i="1"/>
  <c r="K50" i="1"/>
  <c r="J50" i="1"/>
  <c r="H50" i="1"/>
  <c r="A50" i="1"/>
  <c r="K49" i="1"/>
  <c r="J49" i="1"/>
  <c r="H49" i="1"/>
  <c r="A49" i="1"/>
  <c r="K48" i="1"/>
  <c r="J48" i="1"/>
  <c r="H48" i="1"/>
  <c r="A48" i="1"/>
  <c r="K47" i="1"/>
  <c r="J47" i="1"/>
  <c r="H47" i="1"/>
  <c r="A47" i="1"/>
  <c r="K46" i="1"/>
  <c r="J46" i="1"/>
  <c r="H46" i="1"/>
  <c r="A46" i="1"/>
  <c r="K45" i="1"/>
  <c r="J45" i="1"/>
  <c r="H45" i="1"/>
  <c r="A45" i="1"/>
  <c r="K44" i="1"/>
  <c r="J44" i="1"/>
  <c r="H44" i="1"/>
  <c r="A44" i="1"/>
  <c r="K43" i="1"/>
  <c r="J43" i="1"/>
  <c r="H43" i="1"/>
  <c r="A43" i="1"/>
  <c r="K42" i="1"/>
  <c r="J42" i="1"/>
  <c r="H42" i="1"/>
  <c r="A42" i="1"/>
  <c r="K41" i="1"/>
  <c r="J41" i="1"/>
  <c r="H41" i="1"/>
  <c r="A41" i="1"/>
  <c r="K40" i="1"/>
  <c r="J40" i="1"/>
  <c r="H40" i="1"/>
  <c r="A40" i="1"/>
  <c r="K39" i="1"/>
  <c r="J39" i="1"/>
  <c r="H39" i="1"/>
  <c r="A39" i="1"/>
  <c r="K38" i="1"/>
  <c r="J38" i="1"/>
  <c r="H38" i="1"/>
  <c r="A38" i="1"/>
  <c r="K37" i="1"/>
  <c r="J37" i="1"/>
  <c r="H37" i="1"/>
  <c r="A37" i="1"/>
  <c r="K36" i="1"/>
  <c r="J36" i="1"/>
  <c r="H36" i="1"/>
  <c r="A36" i="1"/>
  <c r="K35" i="1"/>
  <c r="J35" i="1"/>
  <c r="H35" i="1"/>
  <c r="A35" i="1"/>
  <c r="K34" i="1"/>
  <c r="J34" i="1"/>
  <c r="H34" i="1"/>
  <c r="A34" i="1"/>
  <c r="K33" i="1"/>
  <c r="J33" i="1"/>
  <c r="H33" i="1"/>
  <c r="A33" i="1"/>
  <c r="K32" i="1"/>
  <c r="J32" i="1"/>
  <c r="H32" i="1"/>
  <c r="A32" i="1"/>
  <c r="K31" i="1"/>
  <c r="J31" i="1"/>
  <c r="H31" i="1"/>
  <c r="A31" i="1"/>
  <c r="K30" i="1"/>
  <c r="J30" i="1"/>
  <c r="H30" i="1"/>
  <c r="A30" i="1"/>
  <c r="K29" i="1"/>
  <c r="J29" i="1"/>
  <c r="H29" i="1"/>
  <c r="A29" i="1"/>
  <c r="K28" i="1"/>
  <c r="J28" i="1"/>
  <c r="H28" i="1"/>
  <c r="A28" i="1"/>
  <c r="K27" i="1"/>
  <c r="J27" i="1"/>
  <c r="H27" i="1"/>
  <c r="A27" i="1"/>
  <c r="K26" i="1"/>
  <c r="J26" i="1"/>
  <c r="H26" i="1"/>
  <c r="A26" i="1"/>
  <c r="K25" i="1"/>
  <c r="J25" i="1"/>
  <c r="H25" i="1"/>
  <c r="A25" i="1"/>
  <c r="K24" i="1"/>
  <c r="J24" i="1"/>
  <c r="H24" i="1"/>
  <c r="A24" i="1"/>
  <c r="K23" i="1"/>
  <c r="J23" i="1"/>
  <c r="H23" i="1"/>
  <c r="A23" i="1"/>
  <c r="K22" i="1"/>
  <c r="J22" i="1"/>
  <c r="H22" i="1"/>
  <c r="A22" i="1"/>
  <c r="K21" i="1"/>
  <c r="J21" i="1"/>
  <c r="H21" i="1"/>
  <c r="A21" i="1"/>
  <c r="K20" i="1"/>
  <c r="J20" i="1"/>
  <c r="H20" i="1"/>
  <c r="A20" i="1"/>
  <c r="K19" i="1"/>
  <c r="J19" i="1"/>
  <c r="H19" i="1"/>
  <c r="A19" i="1"/>
  <c r="K18" i="1"/>
  <c r="J18" i="1"/>
  <c r="H18" i="1"/>
  <c r="A18" i="1"/>
  <c r="K17" i="1"/>
  <c r="J17" i="1"/>
  <c r="H17" i="1"/>
  <c r="A17" i="1"/>
  <c r="K16" i="1"/>
  <c r="J16" i="1"/>
  <c r="H16" i="1"/>
  <c r="A16" i="1"/>
  <c r="K15" i="1"/>
  <c r="J15" i="1"/>
  <c r="H15" i="1"/>
  <c r="A15" i="1"/>
  <c r="K14" i="1"/>
  <c r="J14" i="1"/>
  <c r="H14" i="1"/>
  <c r="A14" i="1"/>
  <c r="K13" i="1"/>
  <c r="J13" i="1"/>
  <c r="H13" i="1"/>
  <c r="A13" i="1"/>
  <c r="K12" i="1"/>
  <c r="J12" i="1"/>
  <c r="H12" i="1"/>
  <c r="A12" i="1"/>
  <c r="K11" i="1"/>
  <c r="J11" i="1"/>
  <c r="H11" i="1"/>
  <c r="A11" i="1"/>
  <c r="K10" i="1"/>
  <c r="J10" i="1"/>
  <c r="H10" i="1"/>
  <c r="A10" i="1"/>
  <c r="K9" i="1"/>
  <c r="J9" i="1"/>
  <c r="H9" i="1"/>
  <c r="A9" i="1"/>
  <c r="K8" i="1"/>
  <c r="J8" i="1"/>
  <c r="H8" i="1"/>
  <c r="A8" i="1"/>
  <c r="K7" i="1"/>
  <c r="J7" i="1"/>
  <c r="H7" i="1"/>
  <c r="A7" i="1"/>
  <c r="K6" i="1"/>
  <c r="J6" i="1"/>
  <c r="H6" i="1"/>
  <c r="A6" i="1"/>
  <c r="K5" i="1"/>
  <c r="J5" i="1"/>
  <c r="H5" i="1"/>
  <c r="A5" i="1"/>
  <c r="N4" i="1"/>
  <c r="K4" i="1"/>
  <c r="J4" i="1"/>
  <c r="H4" i="1"/>
  <c r="A4" i="1"/>
  <c r="N3" i="1"/>
  <c r="K3" i="1"/>
  <c r="J3" i="1"/>
  <c r="H3" i="1"/>
  <c r="A3" i="1"/>
  <c r="K2" i="1"/>
  <c r="J2" i="1"/>
  <c r="H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69" authorId="0" shapeId="0" xr:uid="{F7217320-C337-4E05-AFEB-D494D5BCA708}">
      <text>
        <r>
          <rPr>
            <b/>
            <sz val="10"/>
            <rFont val="Tahoma"/>
            <family val="2"/>
          </rPr>
          <t>LENOVO:</t>
        </r>
        <r>
          <rPr>
            <sz val="10"/>
            <rFont val="Tahoma"/>
            <family val="2"/>
          </rPr>
          <t xml:space="preserve">
nis : 248099</t>
        </r>
      </text>
    </comment>
    <comment ref="C491" authorId="0" shapeId="0" xr:uid="{82518162-B605-469B-96AF-598D6EDD205E}">
      <text>
        <r>
          <rPr>
            <b/>
            <sz val="10"/>
            <rFont val="Tahoma"/>
            <family val="2"/>
          </rPr>
          <t>LENOVO:</t>
        </r>
        <r>
          <rPr>
            <sz val="10"/>
            <rFont val="Tahoma"/>
            <family val="2"/>
          </rPr>
          <t xml:space="preserve">
nis : 248098</t>
        </r>
      </text>
    </comment>
    <comment ref="C522" authorId="0" shapeId="0" xr:uid="{11FDF477-9928-4029-B003-F158CB6F0B33}">
      <text>
        <r>
          <rPr>
            <b/>
            <sz val="10"/>
            <rFont val="Tahoma"/>
            <family val="2"/>
          </rPr>
          <t>LENOVO:</t>
        </r>
        <r>
          <rPr>
            <sz val="10"/>
            <rFont val="Tahoma"/>
            <family val="2"/>
          </rPr>
          <t xml:space="preserve">
nis : 247982</t>
        </r>
      </text>
    </comment>
    <comment ref="C583" authorId="0" shapeId="0" xr:uid="{1194533D-7FD4-489E-8E98-82A0798A2946}">
      <text>
        <r>
          <rPr>
            <b/>
            <sz val="10"/>
            <rFont val="Tahoma"/>
            <family val="2"/>
          </rPr>
          <t>LENOVO:</t>
        </r>
        <r>
          <rPr>
            <sz val="10"/>
            <rFont val="Tahoma"/>
            <family val="2"/>
          </rPr>
          <t xml:space="preserve">
nis : 237707</t>
        </r>
      </text>
    </comment>
  </commentList>
</comments>
</file>

<file path=xl/sharedStrings.xml><?xml version="1.0" encoding="utf-8"?>
<sst xmlns="http://schemas.openxmlformats.org/spreadsheetml/2006/main" count="2469" uniqueCount="1248">
  <si>
    <t>NO</t>
  </si>
  <si>
    <t>NISN</t>
  </si>
  <si>
    <t>NAMA SISWA</t>
  </si>
  <si>
    <t>L/P</t>
  </si>
  <si>
    <t>KELAS</t>
  </si>
  <si>
    <t>NO ABSEN</t>
  </si>
  <si>
    <t>KLS PARALEL</t>
  </si>
  <si>
    <t>ABS RG</t>
  </si>
  <si>
    <t>NO. TES</t>
  </si>
  <si>
    <t>RUANG</t>
  </si>
  <si>
    <t>PKWU</t>
  </si>
  <si>
    <t>0099014595</t>
  </si>
  <si>
    <t>Aila Mahdiyah</t>
  </si>
  <si>
    <t>P</t>
  </si>
  <si>
    <t>XI-1</t>
  </si>
  <si>
    <t>0081993364</t>
  </si>
  <si>
    <t>Annisya</t>
  </si>
  <si>
    <t>laki</t>
  </si>
  <si>
    <t>0094085574</t>
  </si>
  <si>
    <t>Eka Sri Nur Arianty</t>
  </si>
  <si>
    <t>perempuan</t>
  </si>
  <si>
    <t>0097115127</t>
  </si>
  <si>
    <t>Faqih Al Habsyi</t>
  </si>
  <si>
    <t>L</t>
  </si>
  <si>
    <t>0091942332</t>
  </si>
  <si>
    <t>Filsa Zaskia Latifah</t>
  </si>
  <si>
    <t>0098064603</t>
  </si>
  <si>
    <t>Kiki Apriani</t>
  </si>
  <si>
    <t>0095346378</t>
  </si>
  <si>
    <t>Lely Dwi Aprilia</t>
  </si>
  <si>
    <t>0097919268</t>
  </si>
  <si>
    <t>Mahardika Rakha Samahita</t>
  </si>
  <si>
    <t>0092111900</t>
  </si>
  <si>
    <t>Nurislamiyah</t>
  </si>
  <si>
    <t>0091176900</t>
  </si>
  <si>
    <t>Salwa Dwi Septiani</t>
  </si>
  <si>
    <t>0088776421</t>
  </si>
  <si>
    <t>Siti Hajar Alfa</t>
  </si>
  <si>
    <t>0083347238</t>
  </si>
  <si>
    <t>Trisya Oktafiani Palobo</t>
  </si>
  <si>
    <t>0084967087</t>
  </si>
  <si>
    <t>Zafira Azzahra</t>
  </si>
  <si>
    <t>0086939620</t>
  </si>
  <si>
    <t>Ajeng Puspitarini</t>
  </si>
  <si>
    <t>0095909556</t>
  </si>
  <si>
    <t>Alliyansyah Artha Kusuma</t>
  </si>
  <si>
    <t>0092547814</t>
  </si>
  <si>
    <t>Aprilya</t>
  </si>
  <si>
    <t>3090562547</t>
  </si>
  <si>
    <t>Callysta Tabina Ricky</t>
  </si>
  <si>
    <t>0081008713</t>
  </si>
  <si>
    <t>Muh Alfian Adinata</t>
  </si>
  <si>
    <t>0095695341</t>
  </si>
  <si>
    <t>Muhammad Asyrof</t>
  </si>
  <si>
    <t>0087209852</t>
  </si>
  <si>
    <t>Nailah Ramadhani Arif</t>
  </si>
  <si>
    <t>0081693063</t>
  </si>
  <si>
    <t>Nur Annisa Salzabila</t>
  </si>
  <si>
    <t>0091846909</t>
  </si>
  <si>
    <t xml:space="preserve">Nurul Hikmah </t>
  </si>
  <si>
    <t>0082173843</t>
  </si>
  <si>
    <t>Ayu</t>
  </si>
  <si>
    <t>0084733595</t>
  </si>
  <si>
    <t>Andi Vaiq Muwwaffaq Putra Anshary</t>
  </si>
  <si>
    <t>0093434244</t>
  </si>
  <si>
    <t xml:space="preserve">Anggita Putri Aprilia Kendy </t>
  </si>
  <si>
    <t>0085093634</t>
  </si>
  <si>
    <t>Ardini Dwi Resqika</t>
  </si>
  <si>
    <t>0082531641</t>
  </si>
  <si>
    <t>Ihdina Kasih</t>
  </si>
  <si>
    <t>0086700297</t>
  </si>
  <si>
    <t>Jihan Nur Salsabila</t>
  </si>
  <si>
    <t>3083075979</t>
  </si>
  <si>
    <t>Muh Agung Ramadhan</t>
  </si>
  <si>
    <t>0085290305</t>
  </si>
  <si>
    <t>Muh. Ridwan Priyanto</t>
  </si>
  <si>
    <t>0099871030</t>
  </si>
  <si>
    <t>Muh.Andika Irshandy</t>
  </si>
  <si>
    <t>0088673834</t>
  </si>
  <si>
    <t>Nurul Aulia Purnama</t>
  </si>
  <si>
    <t>0086419838</t>
  </si>
  <si>
    <t>Putri Annisa</t>
  </si>
  <si>
    <t>0095173032</t>
  </si>
  <si>
    <t>Rafika Maharani</t>
  </si>
  <si>
    <t>0085415105</t>
  </si>
  <si>
    <t>Ratu Aulia Haris</t>
  </si>
  <si>
    <t>0088295912</t>
  </si>
  <si>
    <t>Muh.Alfitrah</t>
  </si>
  <si>
    <t>0093902087</t>
  </si>
  <si>
    <t>St. Asyah</t>
  </si>
  <si>
    <t>XI-2</t>
  </si>
  <si>
    <t>0095788703</t>
  </si>
  <si>
    <t>Zalfa Ahmad Rivai</t>
  </si>
  <si>
    <t>0085709234</t>
  </si>
  <si>
    <t>Nur Fahillah Amalia</t>
  </si>
  <si>
    <t>0097606503</t>
  </si>
  <si>
    <t>Dinda Rianti</t>
  </si>
  <si>
    <t>0097513077</t>
  </si>
  <si>
    <t>A. Dzakwan Antarun Daffa</t>
  </si>
  <si>
    <t>0098587223</t>
  </si>
  <si>
    <t>Andi Fadhilah Fajar</t>
  </si>
  <si>
    <t>0092966349</t>
  </si>
  <si>
    <t>Annisa Az-Zahra</t>
  </si>
  <si>
    <t>0094492290</t>
  </si>
  <si>
    <t>Arfiah Ramadhani</t>
  </si>
  <si>
    <t>0084445475</t>
  </si>
  <si>
    <t>Ashabul Rasyid Hakim</t>
  </si>
  <si>
    <t>0099796709</t>
  </si>
  <si>
    <t>Eka Suci Ramadhani Mursalin</t>
  </si>
  <si>
    <t>0082389823</t>
  </si>
  <si>
    <t>Fai'Q Rais</t>
  </si>
  <si>
    <t>0086362881</t>
  </si>
  <si>
    <t>Jihan Nur Fadhilah</t>
  </si>
  <si>
    <t>0091453831</t>
  </si>
  <si>
    <t>Kayla Almayra Putri</t>
  </si>
  <si>
    <t>0092064735</t>
  </si>
  <si>
    <t>Muh.Zulqarnain</t>
  </si>
  <si>
    <t>0094841275</t>
  </si>
  <si>
    <t>Muhammad Ferdiansyah Aksari</t>
  </si>
  <si>
    <t>0097087327</t>
  </si>
  <si>
    <t>Mustafa</t>
  </si>
  <si>
    <t>0094948564</t>
  </si>
  <si>
    <t>Muhammad Fadel Tuahuns</t>
  </si>
  <si>
    <t>0081698406</t>
  </si>
  <si>
    <t>Nanda Dani Adiwangsa</t>
  </si>
  <si>
    <t>0071650903</t>
  </si>
  <si>
    <t>Nia Ramadhani</t>
  </si>
  <si>
    <t>0089281032</t>
  </si>
  <si>
    <t>Nur Aulia Putriani Hasis</t>
  </si>
  <si>
    <t>0085524228</t>
  </si>
  <si>
    <r>
      <t>Putri Mahadewi Amiruddin</t>
    </r>
    <r>
      <rPr>
        <sz val="12"/>
        <rFont val="Arial Narrow"/>
        <family val="2"/>
      </rPr>
      <t xml:space="preserve"> </t>
    </r>
  </si>
  <si>
    <t>0081948744</t>
  </si>
  <si>
    <t>Qayla Qirani</t>
  </si>
  <si>
    <t>0092909650</t>
  </si>
  <si>
    <t>Rr. Chayara Rafeyfa Asyla Harimurti</t>
  </si>
  <si>
    <t>0082529399</t>
  </si>
  <si>
    <t>Rhaditya Rizky Himawan</t>
  </si>
  <si>
    <t>0092926760</t>
  </si>
  <si>
    <t>Sheerink Kedank Sardiani</t>
  </si>
  <si>
    <t>0081369953</t>
  </si>
  <si>
    <t>Siti Nur Fadilah</t>
  </si>
  <si>
    <t>0082522921</t>
  </si>
  <si>
    <t>St. Khadijah</t>
  </si>
  <si>
    <t>0082810524</t>
  </si>
  <si>
    <t>Zhafirah Ashilah Bakri</t>
  </si>
  <si>
    <t>0096496698</t>
  </si>
  <si>
    <t>Adelia Putri</t>
  </si>
  <si>
    <t>0097990699</t>
  </si>
  <si>
    <t>A. Syifa Indira Nurzam</t>
  </si>
  <si>
    <t>0087950234</t>
  </si>
  <si>
    <t>Abdirrahman Al Asy Ary</t>
  </si>
  <si>
    <t>0091415720</t>
  </si>
  <si>
    <t>Adsila Quinsyah Putri Marham</t>
  </si>
  <si>
    <t>3099876993</t>
  </si>
  <si>
    <t>Awalia Ramadhani R.</t>
  </si>
  <si>
    <t>0097082967</t>
  </si>
  <si>
    <r>
      <t>Bernadus Aan Patandak</t>
    </r>
    <r>
      <rPr>
        <sz val="12"/>
        <rFont val="Arial Narrow"/>
        <family val="2"/>
      </rPr>
      <t xml:space="preserve"> </t>
    </r>
  </si>
  <si>
    <t>0072318155</t>
  </si>
  <si>
    <t>Chuzunul Mar'Iyah K</t>
  </si>
  <si>
    <t>0093605672</t>
  </si>
  <si>
    <t>Islah Cinta Maritza</t>
  </si>
  <si>
    <t>XI-3</t>
  </si>
  <si>
    <t>0095972778</t>
  </si>
  <si>
    <t>Muhammad Abdul Halik Hs</t>
  </si>
  <si>
    <t>0085919244</t>
  </si>
  <si>
    <t>Muliana Halim</t>
  </si>
  <si>
    <t>0097657243</t>
  </si>
  <si>
    <t>Nur Fathana Yunus</t>
  </si>
  <si>
    <t>0087295313</t>
  </si>
  <si>
    <t>Nur Siti Hajar</t>
  </si>
  <si>
    <t>0091014899</t>
  </si>
  <si>
    <t>Putri Manohara Halija. A</t>
  </si>
  <si>
    <t>0094302815</t>
  </si>
  <si>
    <t xml:space="preserve">Refael Febrian Kapa Arung Pasewang </t>
  </si>
  <si>
    <t>0087188679</t>
  </si>
  <si>
    <t>Sachi Syafiqah</t>
  </si>
  <si>
    <t>0082864700</t>
  </si>
  <si>
    <t>Samudra Hidayah Putra Azis</t>
  </si>
  <si>
    <t>0091817930</t>
  </si>
  <si>
    <t>St.Fadlah Mufidah Haryana Ibrahim</t>
  </si>
  <si>
    <t>0082726478</t>
  </si>
  <si>
    <t>Sulhaefah Tri Juliana</t>
  </si>
  <si>
    <t>3095031720</t>
  </si>
  <si>
    <t>Ahmad Nadhif Islamy Yaddo</t>
  </si>
  <si>
    <t>0094478489</t>
  </si>
  <si>
    <t>Billy Prasetyo</t>
  </si>
  <si>
    <t>0082007742</t>
  </si>
  <si>
    <t>Cintha Fitri Rahayu</t>
  </si>
  <si>
    <t>0096452661</t>
  </si>
  <si>
    <t>Hendrawan Prasetya M</t>
  </si>
  <si>
    <t>0089872118</t>
  </si>
  <si>
    <t>Mahisa Banu Wirawan</t>
  </si>
  <si>
    <t>0098270171</t>
  </si>
  <si>
    <t>Muh. Ali Mabham Farid</t>
  </si>
  <si>
    <t>0092588371</t>
  </si>
  <si>
    <t>Nur Aulia</t>
  </si>
  <si>
    <t>0097931029</t>
  </si>
  <si>
    <t>Nur Wahida</t>
  </si>
  <si>
    <t>0085409726</t>
  </si>
  <si>
    <t>Nurfitrah Haliza. H</t>
  </si>
  <si>
    <t>0077774021</t>
  </si>
  <si>
    <t>Rezky Andriani S</t>
  </si>
  <si>
    <t>0092592216</t>
  </si>
  <si>
    <t>Syayla Maharani</t>
  </si>
  <si>
    <t>0092567351</t>
  </si>
  <si>
    <t>Adelia</t>
  </si>
  <si>
    <t>0073342176</t>
  </si>
  <si>
    <t>Abi Manyu Kresna Mahendra</t>
  </si>
  <si>
    <t>0089715302</t>
  </si>
  <si>
    <t>Az Zahra Putri Athirah</t>
  </si>
  <si>
    <t>0095045779</t>
  </si>
  <si>
    <t>Dian Aura</t>
  </si>
  <si>
    <t>0094607356</t>
  </si>
  <si>
    <t>Nur Fadhilah</t>
  </si>
  <si>
    <t>0094136891</t>
  </si>
  <si>
    <t>Abd. Malikul Mulki</t>
  </si>
  <si>
    <t>0097517235</t>
  </si>
  <si>
    <t>Ahmad Fattah Avisena</t>
  </si>
  <si>
    <t>0091617624</t>
  </si>
  <si>
    <t>Ainun Miskiyah Jihad</t>
  </si>
  <si>
    <t>0096616796</t>
  </si>
  <si>
    <t>Andi Sherlyndah Zahra</t>
  </si>
  <si>
    <t>0086296469</t>
  </si>
  <si>
    <t>Davin Cristmas Ez. Palimbu</t>
  </si>
  <si>
    <t>0096890693</t>
  </si>
  <si>
    <t>Finha Khairun Mizwaq</t>
  </si>
  <si>
    <t>0099662469</t>
  </si>
  <si>
    <t>Grace Tania Tonapa</t>
  </si>
  <si>
    <t>0084343059</t>
  </si>
  <si>
    <t>Ilfira Salyanti</t>
  </si>
  <si>
    <t>0081361389</t>
  </si>
  <si>
    <t>Ingri Angraeni</t>
  </si>
  <si>
    <t>XI-4</t>
  </si>
  <si>
    <t>0096006573</t>
  </si>
  <si>
    <t>Khusnul Khatimah</t>
  </si>
  <si>
    <t>0092188171</t>
  </si>
  <si>
    <t>Muh. Fharel Abdullah Anwar</t>
  </si>
  <si>
    <t>0085696236</t>
  </si>
  <si>
    <t>Muh. Heri</t>
  </si>
  <si>
    <t>0096805646</t>
  </si>
  <si>
    <t>Muhammad Mangatta Yahya</t>
  </si>
  <si>
    <t>0099331168</t>
  </si>
  <si>
    <t>Muhammad Rifqi Fauzi Hasan</t>
  </si>
  <si>
    <t>3093897058</t>
  </si>
  <si>
    <t>Nur Fausiyah</t>
  </si>
  <si>
    <t>0088969728</t>
  </si>
  <si>
    <t>Syifa Mutmainnah</t>
  </si>
  <si>
    <t>0082538589</t>
  </si>
  <si>
    <t>Tiara Amalia</t>
  </si>
  <si>
    <t>0084614367</t>
  </si>
  <si>
    <t xml:space="preserve">Afgan Adhitya Reza Basuki </t>
  </si>
  <si>
    <t>0092270233</t>
  </si>
  <si>
    <t>Ken Galuh Elok Berbinar</t>
  </si>
  <si>
    <t>0097509890</t>
  </si>
  <si>
    <t>Isryad Saputra Iwan</t>
  </si>
  <si>
    <t>0092110717</t>
  </si>
  <si>
    <t>Izzatunnafsiyah Rauf</t>
  </si>
  <si>
    <t>0092864399</t>
  </si>
  <si>
    <t>Muh. Ikhsan Baharuddin</t>
  </si>
  <si>
    <t>3096249848</t>
  </si>
  <si>
    <t>Muh. Rezha Ardian</t>
  </si>
  <si>
    <t>0098607007</t>
  </si>
  <si>
    <t>Muhammad Althaf Attaullah Fadlin</t>
  </si>
  <si>
    <t>0086512402</t>
  </si>
  <si>
    <t>Muhammad Aryan Harmoko</t>
  </si>
  <si>
    <t>0095368408</t>
  </si>
  <si>
    <t>Rayhan</t>
  </si>
  <si>
    <t>0099438153</t>
  </si>
  <si>
    <t>Rizka Nur Faizah</t>
  </si>
  <si>
    <t>0088506409</t>
  </si>
  <si>
    <t>Rufaidah Lathifah Rustam</t>
  </si>
  <si>
    <t>0091460408</t>
  </si>
  <si>
    <t>Zhafirah Labibah Wahid</t>
  </si>
  <si>
    <t>3084841059</t>
  </si>
  <si>
    <t xml:space="preserve">Al Farel P Pratama </t>
  </si>
  <si>
    <t>0088446648</t>
  </si>
  <si>
    <t>Amelia Putri</t>
  </si>
  <si>
    <t>0086180769</t>
  </si>
  <si>
    <t>Erwansyah Nurdin</t>
  </si>
  <si>
    <t>0099308383</t>
  </si>
  <si>
    <t>Khalila Azzahra Syifana</t>
  </si>
  <si>
    <t xml:space="preserve"> </t>
  </si>
  <si>
    <t>0096577109</t>
  </si>
  <si>
    <t>Mudrikah Putri Kirana</t>
  </si>
  <si>
    <t>0095151992</t>
  </si>
  <si>
    <t>Naylah Mutmainnah</t>
  </si>
  <si>
    <t>0095708022</t>
  </si>
  <si>
    <t>Nurfadillah</t>
  </si>
  <si>
    <t>0085434703</t>
  </si>
  <si>
    <t>Rezky Amaliah</t>
  </si>
  <si>
    <t>0084969627</t>
  </si>
  <si>
    <t>Rizka Ramadhani</t>
  </si>
  <si>
    <t>0098038849</t>
  </si>
  <si>
    <t xml:space="preserve">Inayah luthfiyyah Paturusi </t>
  </si>
  <si>
    <t>0099670789</t>
  </si>
  <si>
    <t>Irnawati Syam</t>
  </si>
  <si>
    <t>XI-5</t>
  </si>
  <si>
    <t>0089674896</t>
  </si>
  <si>
    <t>Muh. Rastyo Sadewa</t>
  </si>
  <si>
    <t>0082726025</t>
  </si>
  <si>
    <t>Sri Wulandari</t>
  </si>
  <si>
    <t>0099925242</t>
  </si>
  <si>
    <t>Winda Aulia  Intan Kasu</t>
  </si>
  <si>
    <t>0099129876</t>
  </si>
  <si>
    <t>Naflah Avriel Adimayu</t>
  </si>
  <si>
    <t>3085559546</t>
  </si>
  <si>
    <t>Fadhil Fawwas</t>
  </si>
  <si>
    <t>0087769378</t>
  </si>
  <si>
    <t>Hanun Chairunnisa</t>
  </si>
  <si>
    <t>0092776062</t>
  </si>
  <si>
    <t>Siti Elisyah Ramadani</t>
  </si>
  <si>
    <t>0081011768</t>
  </si>
  <si>
    <t>Azzahra Irmadani</t>
  </si>
  <si>
    <t>0099662423</t>
  </si>
  <si>
    <t>Sri Wahyuni Darman</t>
  </si>
  <si>
    <t>0085632550</t>
  </si>
  <si>
    <t>Zasqiah Ramadhani</t>
  </si>
  <si>
    <t>0097581390</t>
  </si>
  <si>
    <t>Faiqah Andhara Ramadhani</t>
  </si>
  <si>
    <t>0094766827</t>
  </si>
  <si>
    <t>Muh Zulkifli</t>
  </si>
  <si>
    <t>0096982428</t>
  </si>
  <si>
    <t xml:space="preserve">Muhammad Shafwan Ayatillah Syukur </t>
  </si>
  <si>
    <t>3085675824</t>
  </si>
  <si>
    <t>Abd. Mujib R</t>
  </si>
  <si>
    <t>0086475056</t>
  </si>
  <si>
    <t>Adelia Ramadani Kaimuddin</t>
  </si>
  <si>
    <t>0082369663</t>
  </si>
  <si>
    <t>Asriani Putri Saharuddin</t>
  </si>
  <si>
    <t>0098242479</t>
  </si>
  <si>
    <t>Debora Rani Permatasari</t>
  </si>
  <si>
    <t>0099309151</t>
  </si>
  <si>
    <t>Ibnu Ardyansya</t>
  </si>
  <si>
    <t>0093387133</t>
  </si>
  <si>
    <t>Muhammad Fatir Ali Saputra</t>
  </si>
  <si>
    <t>3097179486</t>
  </si>
  <si>
    <t>Nurfaizah Aulya Ramahdani</t>
  </si>
  <si>
    <t>0082854067</t>
  </si>
  <si>
    <t>Syakira Putri Cahyani Sr</t>
  </si>
  <si>
    <t>0095410450</t>
  </si>
  <si>
    <t>Nursahra</t>
  </si>
  <si>
    <t>0103125993</t>
  </si>
  <si>
    <t>Rehan Faiz Saputra</t>
  </si>
  <si>
    <t>0151270360</t>
  </si>
  <si>
    <t>Amira Safwana Budiman</t>
  </si>
  <si>
    <t>3090219807</t>
  </si>
  <si>
    <t>Andini</t>
  </si>
  <si>
    <t>0093153948</t>
  </si>
  <si>
    <t>Andi Nayra Febry Bastian</t>
  </si>
  <si>
    <t>0081387469</t>
  </si>
  <si>
    <t xml:space="preserve">Iyyad Alhadid </t>
  </si>
  <si>
    <t>0099486419</t>
  </si>
  <si>
    <t>Nurul Difa Alfiyyah</t>
  </si>
  <si>
    <t>0094120418</t>
  </si>
  <si>
    <t>Reski Aulia Putri</t>
  </si>
  <si>
    <t>0096324435</t>
  </si>
  <si>
    <t>Syintia Nur Rahma</t>
  </si>
  <si>
    <t>0097318028</t>
  </si>
  <si>
    <t>Nur Qalam Alfira Syam</t>
  </si>
  <si>
    <t>0098501030</t>
  </si>
  <si>
    <t>Saifana Azahra Musdalifa</t>
  </si>
  <si>
    <t>0096172230</t>
  </si>
  <si>
    <t>Try Resky Syam</t>
  </si>
  <si>
    <t>0093522344</t>
  </si>
  <si>
    <t>Salsabila Afifah Athaya Akram</t>
  </si>
  <si>
    <t>0098306187</t>
  </si>
  <si>
    <r>
      <t>Alif Al Hassar</t>
    </r>
    <r>
      <rPr>
        <sz val="12"/>
        <color indexed="8"/>
        <rFont val="Arial Narrow"/>
        <family val="2"/>
      </rPr>
      <t xml:space="preserve"> </t>
    </r>
  </si>
  <si>
    <t>XI-6</t>
  </si>
  <si>
    <t>0087579126</t>
  </si>
  <si>
    <t>Ciptha Nugraha Ramadhan</t>
  </si>
  <si>
    <t>0081963986</t>
  </si>
  <si>
    <t>M Fais Daffa Noval</t>
  </si>
  <si>
    <t>0082629915</t>
  </si>
  <si>
    <t>Muh. Nabil Abdul Aziz</t>
  </si>
  <si>
    <t>0091950483</t>
  </si>
  <si>
    <t>Muh. Syaifullah Majid</t>
  </si>
  <si>
    <t>0083788748</t>
  </si>
  <si>
    <t>Muhammad Anugrah Rahman</t>
  </si>
  <si>
    <t>0082856698</t>
  </si>
  <si>
    <t>Mutiara Julia</t>
  </si>
  <si>
    <t>0091910283</t>
  </si>
  <si>
    <t>Andhika Putra Gunawan</t>
  </si>
  <si>
    <t>0085155631</t>
  </si>
  <si>
    <t>Isra Yulianti H.</t>
  </si>
  <si>
    <t>0095703923</t>
  </si>
  <si>
    <t>Muh Faisal Syah Resa</t>
  </si>
  <si>
    <t>0097209476</t>
  </si>
  <si>
    <t>Muh. Rhyvqy Pratama Salam</t>
  </si>
  <si>
    <t>0091417707</t>
  </si>
  <si>
    <t>Muh.Alief Putra Irsal</t>
  </si>
  <si>
    <t>0098749439</t>
  </si>
  <si>
    <t>Septiani Cahya</t>
  </si>
  <si>
    <t>0096082382</t>
  </si>
  <si>
    <t>Zairah Zyafina Musbach</t>
  </si>
  <si>
    <t>3091474895</t>
  </si>
  <si>
    <t>Zakiyyah Akinari Zahra</t>
  </si>
  <si>
    <t>0082970361</t>
  </si>
  <si>
    <t>Wafiq Azizah Ramadhani</t>
  </si>
  <si>
    <t>0098395631</t>
  </si>
  <si>
    <t>Abid Ahmad Ardan</t>
  </si>
  <si>
    <t>0083798123</t>
  </si>
  <si>
    <r>
      <t>Aswar Saputra</t>
    </r>
    <r>
      <rPr>
        <sz val="12"/>
        <rFont val="Arial Narrow"/>
        <family val="2"/>
      </rPr>
      <t xml:space="preserve"> </t>
    </r>
  </si>
  <si>
    <t>0094946899</t>
  </si>
  <si>
    <t>Dian Azzahra</t>
  </si>
  <si>
    <t>0084457929</t>
  </si>
  <si>
    <t>M. Ibnu Zubair</t>
  </si>
  <si>
    <t>0093082752</t>
  </si>
  <si>
    <t>Mira Maharani</t>
  </si>
  <si>
    <t>0088438261</t>
  </si>
  <si>
    <r>
      <t>Muh Muhardam Aby Fajar</t>
    </r>
    <r>
      <rPr>
        <sz val="12"/>
        <rFont val="Arial Narrow"/>
        <family val="2"/>
      </rPr>
      <t xml:space="preserve"> </t>
    </r>
  </si>
  <si>
    <t>0094647060</t>
  </si>
  <si>
    <t>Muh. Rheza</t>
  </si>
  <si>
    <t>0081748067</t>
  </si>
  <si>
    <t>Muh.Nabil</t>
  </si>
  <si>
    <t>0088045497</t>
  </si>
  <si>
    <t>Raharyo Susilo</t>
  </si>
  <si>
    <t>0092178397</t>
  </si>
  <si>
    <t>Rizki Ameliah</t>
  </si>
  <si>
    <t>0098409863</t>
  </si>
  <si>
    <t>Mufiidah Said</t>
  </si>
  <si>
    <t>3071575618</t>
  </si>
  <si>
    <t>Muh. Afqah Rislawan Putra</t>
  </si>
  <si>
    <t>0094908974</t>
  </si>
  <si>
    <t>Syamsul Alam</t>
  </si>
  <si>
    <t>0093262337</t>
  </si>
  <si>
    <t>A . Baeduri</t>
  </si>
  <si>
    <t>0089918147</t>
  </si>
  <si>
    <t>A.M. Rizky Anugrah Ramadhan. A</t>
  </si>
  <si>
    <t>0084593409</t>
  </si>
  <si>
    <t>Ahmad Dzaki Hamka</t>
  </si>
  <si>
    <t>0093273579</t>
  </si>
  <si>
    <t>Ardiansa</t>
  </si>
  <si>
    <t>0095520145</t>
  </si>
  <si>
    <t>Muh.Rizky Syahban Hanafi</t>
  </si>
  <si>
    <t>0099709751</t>
  </si>
  <si>
    <t>Dela Adelia</t>
  </si>
  <si>
    <t>XI-7</t>
  </si>
  <si>
    <t>0099119901</t>
  </si>
  <si>
    <t>Muh Ardyansyah</t>
  </si>
  <si>
    <t>0095672049</t>
  </si>
  <si>
    <t>Muh Ibnu Al Qazali</t>
  </si>
  <si>
    <t>0081526578</t>
  </si>
  <si>
    <t>Muh Rizky Maulana</t>
  </si>
  <si>
    <t>0082720479</t>
  </si>
  <si>
    <r>
      <t>Awal Saputra</t>
    </r>
    <r>
      <rPr>
        <sz val="12"/>
        <color indexed="8"/>
        <rFont val="Arial Narrow"/>
        <family val="2"/>
      </rPr>
      <t xml:space="preserve"> </t>
    </r>
  </si>
  <si>
    <t>0089414477</t>
  </si>
  <si>
    <t>Farhaeni Aziza H.H</t>
  </si>
  <si>
    <t>0091874155</t>
  </si>
  <si>
    <t>Keyla Ekleysa Pusung</t>
  </si>
  <si>
    <t>0093766395</t>
  </si>
  <si>
    <t>Muh. Hasby Imansyah</t>
  </si>
  <si>
    <t>0081277807</t>
  </si>
  <si>
    <t>Muh.Arfah Julianto</t>
  </si>
  <si>
    <t>0091867656</t>
  </si>
  <si>
    <t>Nurhalisah</t>
  </si>
  <si>
    <t>0087186250</t>
  </si>
  <si>
    <t>Qinaya Annisa Putri</t>
  </si>
  <si>
    <t>0097764226</t>
  </si>
  <si>
    <t>Saiful Alex Dasilva</t>
  </si>
  <si>
    <t>0093928426</t>
  </si>
  <si>
    <t>Aini Nahda Asizah Kahar</t>
  </si>
  <si>
    <t>0083832239</t>
  </si>
  <si>
    <t>Fauziyyah Ramadhani Affandi</t>
  </si>
  <si>
    <t>0093150455</t>
  </si>
  <si>
    <t>Mardhiyah Tri Lestari</t>
  </si>
  <si>
    <t>0093405892</t>
  </si>
  <si>
    <t>Muh. Arfebri Fayiz Al Ghaniyyu</t>
  </si>
  <si>
    <t>0086201791</t>
  </si>
  <si>
    <t>Muhammad Ihsan Yusuf</t>
  </si>
  <si>
    <t>0085375131</t>
  </si>
  <si>
    <t>Muhammad.Akhtar</t>
  </si>
  <si>
    <t>0099806571</t>
  </si>
  <si>
    <t>Putri Khanaya Abrizal</t>
  </si>
  <si>
    <t>0091340696</t>
  </si>
  <si>
    <t>Rinjani Nielam Pritama</t>
  </si>
  <si>
    <t>0081377676</t>
  </si>
  <si>
    <t>Talita Triansyah</t>
  </si>
  <si>
    <t>0097890762</t>
  </si>
  <si>
    <r>
      <t>Muh Farel Farih</t>
    </r>
    <r>
      <rPr>
        <sz val="12"/>
        <rFont val="Arial Narrow"/>
        <family val="2"/>
      </rPr>
      <t xml:space="preserve"> </t>
    </r>
  </si>
  <si>
    <t>0093884319</t>
  </si>
  <si>
    <t>Rahmad Hidayat</t>
  </si>
  <si>
    <t>0091279770</t>
  </si>
  <si>
    <t>Aidil Saputra</t>
  </si>
  <si>
    <t>0086388182</t>
  </si>
  <si>
    <t>Annisa Aulia</t>
  </si>
  <si>
    <t>0077943637</t>
  </si>
  <si>
    <t>Arini Permatasari</t>
  </si>
  <si>
    <t>0085812598</t>
  </si>
  <si>
    <t>Hasma</t>
  </si>
  <si>
    <t>0092595618</t>
  </si>
  <si>
    <t>Jurana Ahlaqul Qarima</t>
  </si>
  <si>
    <t>0086544814</t>
  </si>
  <si>
    <t>Kumalasari</t>
  </si>
  <si>
    <t>0091922387</t>
  </si>
  <si>
    <t>Nakeisya Pul'ri Caesar</t>
  </si>
  <si>
    <t>0084034693</t>
  </si>
  <si>
    <t>Andi Niswah Nurhan</t>
  </si>
  <si>
    <t>0089256591</t>
  </si>
  <si>
    <r>
      <t>Jhosia Paebang</t>
    </r>
    <r>
      <rPr>
        <sz val="12"/>
        <rFont val="Arial Narrow"/>
        <family val="2"/>
      </rPr>
      <t xml:space="preserve"> </t>
    </r>
  </si>
  <si>
    <t>0088767013</t>
  </si>
  <si>
    <t>Rizal Arie Saputra</t>
  </si>
  <si>
    <t>XI-8</t>
  </si>
  <si>
    <t>0088805673</t>
  </si>
  <si>
    <t>Citra</t>
  </si>
  <si>
    <t>0084449709</t>
  </si>
  <si>
    <t>Imelda Yadi</t>
  </si>
  <si>
    <t>0086301041</t>
  </si>
  <si>
    <t>Muhammad Ikram</t>
  </si>
  <si>
    <t>0093610340</t>
  </si>
  <si>
    <t>S. Muhammad Alwi Assagaf</t>
  </si>
  <si>
    <t>0099711317</t>
  </si>
  <si>
    <t>Safira Audia Afsari</t>
  </si>
  <si>
    <t>0099768311</t>
  </si>
  <si>
    <t>Aulia Rizki</t>
  </si>
  <si>
    <t>0082351959</t>
  </si>
  <si>
    <t>Dewi Saskia</t>
  </si>
  <si>
    <t>0071951205</t>
  </si>
  <si>
    <t>Farel Audilano</t>
  </si>
  <si>
    <t>0083996236</t>
  </si>
  <si>
    <t>Lintang Adira Riyanti</t>
  </si>
  <si>
    <t>0091609325</t>
  </si>
  <si>
    <t>M. Syahrul Maha Putra</t>
  </si>
  <si>
    <t>0072750721</t>
  </si>
  <si>
    <t>Muh Abidzar</t>
  </si>
  <si>
    <t>0086904844</t>
  </si>
  <si>
    <t>Muh Alfaiz Akhtar Atmaya</t>
  </si>
  <si>
    <t>0094743434</t>
  </si>
  <si>
    <t>Muh. Alif</t>
  </si>
  <si>
    <t>0096677563</t>
  </si>
  <si>
    <t>Muh. Fajar Febrian</t>
  </si>
  <si>
    <t>0086136786</t>
  </si>
  <si>
    <t>Muh. Tri Iasmo</t>
  </si>
  <si>
    <t>3092770692</t>
  </si>
  <si>
    <t>Rezky Nur Aqsah</t>
  </si>
  <si>
    <t>0083261400</t>
  </si>
  <si>
    <t>Silverius Noel Kelviano Fengkianus</t>
  </si>
  <si>
    <t>0071485937</t>
  </si>
  <si>
    <t>Sitti Nurafiah Hafid</t>
  </si>
  <si>
    <t>0097515868</t>
  </si>
  <si>
    <t>Andika Putra Pratama</t>
  </si>
  <si>
    <t>0096113878</t>
  </si>
  <si>
    <t xml:space="preserve">Kevin Dwi Putra Kowureng </t>
  </si>
  <si>
    <t>0098228445</t>
  </si>
  <si>
    <t xml:space="preserve">Muh Yusuf Alfatir </t>
  </si>
  <si>
    <t>0089290449</t>
  </si>
  <si>
    <t>Muh  Afdhal R.</t>
  </si>
  <si>
    <t>0098809768</t>
  </si>
  <si>
    <t>Muh. Rizal Saputra</t>
  </si>
  <si>
    <t>0099528168</t>
  </si>
  <si>
    <t>A. Muh Al Mualif</t>
  </si>
  <si>
    <t>0081389496</t>
  </si>
  <si>
    <t>Aulia Kasih</t>
  </si>
  <si>
    <t>0086494468</t>
  </si>
  <si>
    <t xml:space="preserve">Abdul Rahim </t>
  </si>
  <si>
    <t>0092617331</t>
  </si>
  <si>
    <t>Muh Ikhsan Pratama</t>
  </si>
  <si>
    <t>0089041935</t>
  </si>
  <si>
    <t xml:space="preserve">Sabaruddin </t>
  </si>
  <si>
    <t>0083242821</t>
  </si>
  <si>
    <t>Andhini Nur  Anisa</t>
  </si>
  <si>
    <t>0098370775</t>
  </si>
  <si>
    <t>Afdal Aldiano Giffari</t>
  </si>
  <si>
    <t>0094629642</t>
  </si>
  <si>
    <t>Andi Nirwana</t>
  </si>
  <si>
    <t>XI-9</t>
  </si>
  <si>
    <t>0093503362</t>
  </si>
  <si>
    <r>
      <t>Danianto Abdi Syahmarowa</t>
    </r>
    <r>
      <rPr>
        <sz val="12"/>
        <color indexed="8"/>
        <rFont val="Arial Narrow"/>
        <family val="2"/>
      </rPr>
      <t xml:space="preserve"> </t>
    </r>
  </si>
  <si>
    <t>0089588906</t>
  </si>
  <si>
    <t>Fiqrhy Hidayatullah A.</t>
  </si>
  <si>
    <t>0099321218</t>
  </si>
  <si>
    <t>Gina</t>
  </si>
  <si>
    <t>0092225464</t>
  </si>
  <si>
    <t>Muh Rafli</t>
  </si>
  <si>
    <t>3095901510</t>
  </si>
  <si>
    <t>Muh. Akbar Ali</t>
  </si>
  <si>
    <t>3080498179</t>
  </si>
  <si>
    <t>Muh. Iqbal Pratama</t>
  </si>
  <si>
    <t>0087932668</t>
  </si>
  <si>
    <t>Muh.Fiqri Fahreza</t>
  </si>
  <si>
    <t>0097333498</t>
  </si>
  <si>
    <t>Muhammad Fakhriansyah</t>
  </si>
  <si>
    <t>0096650731</t>
  </si>
  <si>
    <t>Nur Fadhilah Ramadhani</t>
  </si>
  <si>
    <t>0098722309</t>
  </si>
  <si>
    <t>Nurul Adelia Salmar</t>
  </si>
  <si>
    <t>3087349677</t>
  </si>
  <si>
    <t>Samsinar. S</t>
  </si>
  <si>
    <t>3092915119</t>
  </si>
  <si>
    <t>Mateus Yehuda Da Silva G.</t>
  </si>
  <si>
    <t>0093134766</t>
  </si>
  <si>
    <t>Ika Sabrianti Herfitasari</t>
  </si>
  <si>
    <t>0065757996</t>
  </si>
  <si>
    <t>M. Al Fatir Iskandar</t>
  </si>
  <si>
    <t>0087904337</t>
  </si>
  <si>
    <t>Muh Zahir</t>
  </si>
  <si>
    <t>0092164355</t>
  </si>
  <si>
    <r>
      <t>Muh. Irwan Salim</t>
    </r>
    <r>
      <rPr>
        <sz val="12"/>
        <rFont val="Arial Narrow"/>
        <family val="2"/>
      </rPr>
      <t xml:space="preserve"> </t>
    </r>
  </si>
  <si>
    <t>0087592396</t>
  </si>
  <si>
    <t>Muh.Ilham</t>
  </si>
  <si>
    <t>0093618259</t>
  </si>
  <si>
    <t>Putri</t>
  </si>
  <si>
    <t>0094824956</t>
  </si>
  <si>
    <t>Risma Amelia</t>
  </si>
  <si>
    <t>0085057139</t>
  </si>
  <si>
    <t>Muh. Fauzan Adevi</t>
  </si>
  <si>
    <t>0081575679</t>
  </si>
  <si>
    <t>Muh.Okta Firmansyah</t>
  </si>
  <si>
    <t>0092620202</t>
  </si>
  <si>
    <t>Nur Inayah Safah</t>
  </si>
  <si>
    <t>0087569527</t>
  </si>
  <si>
    <t>Muhammad Risqullah Yesrianto</t>
  </si>
  <si>
    <t>0094990478</t>
  </si>
  <si>
    <t>Muh. Fikri Ubaidilla</t>
  </si>
  <si>
    <t>0087726095</t>
  </si>
  <si>
    <t>Muh.Ramadhan</t>
  </si>
  <si>
    <t>0084858532</t>
  </si>
  <si>
    <t>Muhammad Fahri Rasyid Husain</t>
  </si>
  <si>
    <t>0086136290</t>
  </si>
  <si>
    <t>Pangeran Alfadani</t>
  </si>
  <si>
    <t>0095901462</t>
  </si>
  <si>
    <t>Rafli Ahmad Fauzaan</t>
  </si>
  <si>
    <t>0091332956</t>
  </si>
  <si>
    <t>M Aidil</t>
  </si>
  <si>
    <t>0091600960</t>
  </si>
  <si>
    <t>Wandi</t>
  </si>
  <si>
    <t>0101573665</t>
  </si>
  <si>
    <t>A. SARIFA HANIPA</t>
  </si>
  <si>
    <t>X-1</t>
  </si>
  <si>
    <t>0104410831</t>
  </si>
  <si>
    <t>ADITYA MAULANA FEBRIANSYAH</t>
  </si>
  <si>
    <t>0106098029</t>
  </si>
  <si>
    <r>
      <t>AHMAD AL FATHIR</t>
    </r>
    <r>
      <rPr>
        <sz val="10"/>
        <rFont val="Calibri"/>
        <family val="2"/>
      </rPr>
      <t xml:space="preserve"> </t>
    </r>
  </si>
  <si>
    <t>0099187514</t>
  </si>
  <si>
    <t>AHMAD NAJIB</t>
  </si>
  <si>
    <t>0092603404</t>
  </si>
  <si>
    <t>AIRA RIBY ANAQA</t>
  </si>
  <si>
    <t>0104491775</t>
  </si>
  <si>
    <t>ALYA MUKHBITA NAYLA</t>
  </si>
  <si>
    <t>0096926616</t>
  </si>
  <si>
    <t>ANGGRAENI PUTRI ANUARI</t>
  </si>
  <si>
    <t>0101854648</t>
  </si>
  <si>
    <t>ARYA KAMANDANU</t>
  </si>
  <si>
    <t>0096697601</t>
  </si>
  <si>
    <r>
      <t>AULIA ANSAR</t>
    </r>
    <r>
      <rPr>
        <sz val="10"/>
        <rFont val="Calibri"/>
        <family val="2"/>
      </rPr>
      <t xml:space="preserve"> </t>
    </r>
  </si>
  <si>
    <t>0099597736</t>
  </si>
  <si>
    <t>AYRA KIRANA. AS</t>
  </si>
  <si>
    <t>0102041192</t>
  </si>
  <si>
    <t>FADIL AL FATIR</t>
  </si>
  <si>
    <t>0095968563</t>
  </si>
  <si>
    <t>FELIKA FATIHAH</t>
  </si>
  <si>
    <t>0095384430</t>
  </si>
  <si>
    <t>FIQRI HAIKAL</t>
  </si>
  <si>
    <t>0109038092</t>
  </si>
  <si>
    <r>
      <t>HAFIZA MULYASARI</t>
    </r>
    <r>
      <rPr>
        <sz val="10"/>
        <rFont val="Calibri"/>
        <family val="2"/>
      </rPr>
      <t xml:space="preserve"> </t>
    </r>
  </si>
  <si>
    <t>0093136754</t>
  </si>
  <si>
    <t>KAYYSAH NOVARYRA</t>
  </si>
  <si>
    <t>0094998218</t>
  </si>
  <si>
    <r>
      <t>LENTI RENI IDAYANI</t>
    </r>
    <r>
      <rPr>
        <sz val="10"/>
        <rFont val="Calibri"/>
        <family val="2"/>
      </rPr>
      <t xml:space="preserve"> </t>
    </r>
  </si>
  <si>
    <t>0096684850</t>
  </si>
  <si>
    <t>M FIKRAM SAPUTRA</t>
  </si>
  <si>
    <t>0092325957</t>
  </si>
  <si>
    <t>MAYA ANGGRIYANI</t>
  </si>
  <si>
    <t>0099428499</t>
  </si>
  <si>
    <t>MUH REZA BAITUL RAHMAN</t>
  </si>
  <si>
    <t>0098381527</t>
  </si>
  <si>
    <t>MUH.FATHIR AL GIBRAN</t>
  </si>
  <si>
    <t>0099552804</t>
  </si>
  <si>
    <t>MUH.HUSAIN</t>
  </si>
  <si>
    <t>0102710355</t>
  </si>
  <si>
    <t>MUHAMMAD CHALIL AMMAR</t>
  </si>
  <si>
    <t>0094358182</t>
  </si>
  <si>
    <t>NADYA RESKI</t>
  </si>
  <si>
    <t>0095829479</t>
  </si>
  <si>
    <t>NASHIRA AURA FADIA</t>
  </si>
  <si>
    <t>NUR QHAYLA R</t>
  </si>
  <si>
    <r>
      <t>NURHAYATI</t>
    </r>
    <r>
      <rPr>
        <sz val="10"/>
        <rFont val="Calibri"/>
        <family val="2"/>
      </rPr>
      <t xml:space="preserve"> </t>
    </r>
  </si>
  <si>
    <t>0106334828</t>
  </si>
  <si>
    <t>RIFDAH SAPTA RINI</t>
  </si>
  <si>
    <t>0099307838</t>
  </si>
  <si>
    <r>
      <t>RIFQI ALFAKHREIZY ADFRIN PUTRA M.</t>
    </r>
    <r>
      <rPr>
        <sz val="10"/>
        <rFont val="Calibri"/>
        <family val="2"/>
      </rPr>
      <t xml:space="preserve"> </t>
    </r>
  </si>
  <si>
    <t>RIFQI MAHESA PUTRA</t>
  </si>
  <si>
    <t>0104097760</t>
  </si>
  <si>
    <r>
      <t>SADEWA AL SYAM</t>
    </r>
    <r>
      <rPr>
        <sz val="10"/>
        <rFont val="Calibri"/>
        <family val="2"/>
      </rPr>
      <t xml:space="preserve"> </t>
    </r>
  </si>
  <si>
    <t>SALZABILAH PUTRI ADINATA</t>
  </si>
  <si>
    <t>0094500832</t>
  </si>
  <si>
    <r>
      <t>SEKAR AYU WULANDARI</t>
    </r>
    <r>
      <rPr>
        <sz val="10"/>
        <rFont val="Calibri"/>
        <family val="2"/>
      </rPr>
      <t xml:space="preserve"> </t>
    </r>
  </si>
  <si>
    <t>0094823531</t>
  </si>
  <si>
    <r>
      <t>SYAMSUL ALAM</t>
    </r>
    <r>
      <rPr>
        <sz val="10"/>
        <rFont val="Calibri"/>
        <family val="2"/>
      </rPr>
      <t xml:space="preserve"> </t>
    </r>
  </si>
  <si>
    <t>0101250233</t>
  </si>
  <si>
    <t>ZAZKHYA MAHARANI</t>
  </si>
  <si>
    <t>0109962670</t>
  </si>
  <si>
    <t>MUH. BILAL RAMADHAN</t>
  </si>
  <si>
    <t>0105591124</t>
  </si>
  <si>
    <t>A.FITRAH FAKHREZY</t>
  </si>
  <si>
    <t>X-2</t>
  </si>
  <si>
    <t>0109495648</t>
  </si>
  <si>
    <t>AATHIFA CITRA AULIA</t>
  </si>
  <si>
    <t>0095226835</t>
  </si>
  <si>
    <r>
      <t>ADE IRMA</t>
    </r>
    <r>
      <rPr>
        <sz val="10"/>
        <color indexed="8"/>
        <rFont val="Calibri"/>
        <family val="2"/>
      </rPr>
      <t xml:space="preserve"> </t>
    </r>
  </si>
  <si>
    <t>0094474612</t>
  </si>
  <si>
    <r>
      <t>AISYAH DWI NURAINI PUTRI</t>
    </r>
    <r>
      <rPr>
        <sz val="10"/>
        <color indexed="8"/>
        <rFont val="Calibri"/>
        <family val="2"/>
      </rPr>
      <t xml:space="preserve"> </t>
    </r>
  </si>
  <si>
    <t>0099267133</t>
  </si>
  <si>
    <t>ANDI RULYANA RUSLI</t>
  </si>
  <si>
    <t>0094032685</t>
  </si>
  <si>
    <t>ANGGI ADITYA</t>
  </si>
  <si>
    <t>0107791558</t>
  </si>
  <si>
    <t>ANNA ALTHAFUNNISAAA AL MU'MIN</t>
  </si>
  <si>
    <t>ARSHAVIN EVAN FADILAH</t>
  </si>
  <si>
    <t>0106560209</t>
  </si>
  <si>
    <t>ATHAR GIBRALTAR AMIR</t>
  </si>
  <si>
    <t>0101299949</t>
  </si>
  <si>
    <t>AULIA AZ ZAHRA</t>
  </si>
  <si>
    <t>0095081147</t>
  </si>
  <si>
    <t>DEA APRILIA RAZHA</t>
  </si>
  <si>
    <t>0109855710</t>
  </si>
  <si>
    <t>FAIKA AIDINA</t>
  </si>
  <si>
    <t>0109599687</t>
  </si>
  <si>
    <t>FEBRIAN</t>
  </si>
  <si>
    <t>0108729495</t>
  </si>
  <si>
    <t>HAIFA DWI AFSARI</t>
  </si>
  <si>
    <t>0097809743</t>
  </si>
  <si>
    <t>HASMITA SARI</t>
  </si>
  <si>
    <t>0103690080</t>
  </si>
  <si>
    <t>KETLINE MAJESTI YACOBUS</t>
  </si>
  <si>
    <t>0102013790</t>
  </si>
  <si>
    <t>M. ARIL ARDIANSYAH</t>
  </si>
  <si>
    <t>0102281251</t>
  </si>
  <si>
    <t>M.SAPUTRA</t>
  </si>
  <si>
    <t>MUH FADIL</t>
  </si>
  <si>
    <t>0094474676</t>
  </si>
  <si>
    <t>MUH FAJRIAN BASO</t>
  </si>
  <si>
    <t>0104682588</t>
  </si>
  <si>
    <t>MUHAMMAD AL NATH ISHSA</t>
  </si>
  <si>
    <t>0103256125</t>
  </si>
  <si>
    <t>MUHAMMAD EL NATH ISHSA</t>
  </si>
  <si>
    <t>MUTHMAINNAH ANWAR</t>
  </si>
  <si>
    <t>0107340915</t>
  </si>
  <si>
    <t>NABIGHAH NAITATUL HUSNA</t>
  </si>
  <si>
    <t>0108693334</t>
  </si>
  <si>
    <t>NA'IFA ANWAR</t>
  </si>
  <si>
    <t>NURAWALINA</t>
  </si>
  <si>
    <r>
      <t>NURUL FATIMAH AGUNG</t>
    </r>
    <r>
      <rPr>
        <sz val="10"/>
        <color indexed="8"/>
        <rFont val="Calibri"/>
        <family val="2"/>
      </rPr>
      <t xml:space="preserve"> </t>
    </r>
  </si>
  <si>
    <r>
      <t>PRATHITA APRILIA SAFITRI</t>
    </r>
    <r>
      <rPr>
        <sz val="10"/>
        <color indexed="8"/>
        <rFont val="Calibri"/>
        <family val="2"/>
      </rPr>
      <t xml:space="preserve"> </t>
    </r>
  </si>
  <si>
    <t>0109008642</t>
  </si>
  <si>
    <t>SELVIANA BAHCTIAR</t>
  </si>
  <si>
    <t>0096619782</t>
  </si>
  <si>
    <t>SITI NAFISA</t>
  </si>
  <si>
    <t>0099521051</t>
  </si>
  <si>
    <t>SYAHPUTRA SHABRY</t>
  </si>
  <si>
    <t>0107237981</t>
  </si>
  <si>
    <r>
      <t>SYAIFUL</t>
    </r>
    <r>
      <rPr>
        <sz val="10"/>
        <color indexed="8"/>
        <rFont val="Calibri"/>
        <family val="2"/>
      </rPr>
      <t xml:space="preserve"> </t>
    </r>
  </si>
  <si>
    <t>0102808446</t>
  </si>
  <si>
    <t>WILDIAN SETIAWAN</t>
  </si>
  <si>
    <t>0087957447</t>
  </si>
  <si>
    <t>ILHAM LAHIYA</t>
  </si>
  <si>
    <t>0097533607</t>
  </si>
  <si>
    <r>
      <t>AINI RAMADHANI</t>
    </r>
    <r>
      <rPr>
        <sz val="10"/>
        <color indexed="8"/>
        <rFont val="Calibri"/>
        <family val="2"/>
      </rPr>
      <t xml:space="preserve"> </t>
    </r>
  </si>
  <si>
    <t>X-3</t>
  </si>
  <si>
    <t>ALYA RAHMA</t>
  </si>
  <si>
    <t>0106260973</t>
  </si>
  <si>
    <t>AMEYTA ARTHALIA PURBAYA</t>
  </si>
  <si>
    <t>0096944070</t>
  </si>
  <si>
    <t>ANDI ARYA ASSIDIK WIRIPRASETIA K</t>
  </si>
  <si>
    <t>ARIQAH NAILAH AZ-ZAHRA ALWAHID</t>
  </si>
  <si>
    <t>0107196233</t>
  </si>
  <si>
    <t>AUFA ASLAM AFIF</t>
  </si>
  <si>
    <t>AURELIA</t>
  </si>
  <si>
    <t>0102277596</t>
  </si>
  <si>
    <r>
      <t>BILKIS EKA SAPUTRI</t>
    </r>
    <r>
      <rPr>
        <sz val="10"/>
        <color indexed="8"/>
        <rFont val="Calibri"/>
        <family val="2"/>
      </rPr>
      <t xml:space="preserve"> </t>
    </r>
  </si>
  <si>
    <t>0091235628</t>
  </si>
  <si>
    <t>BUDIMAN</t>
  </si>
  <si>
    <t>0096983503</t>
  </si>
  <si>
    <r>
      <t>CAKRA ZIDAN DIJA</t>
    </r>
    <r>
      <rPr>
        <sz val="10"/>
        <color indexed="8"/>
        <rFont val="Calibri"/>
        <family val="2"/>
      </rPr>
      <t xml:space="preserve"> </t>
    </r>
  </si>
  <si>
    <t>0107660670</t>
  </si>
  <si>
    <r>
      <t>GLEN SAPUTRA PATANGKE</t>
    </r>
    <r>
      <rPr>
        <sz val="10"/>
        <color indexed="8"/>
        <rFont val="Calibri"/>
        <family val="2"/>
      </rPr>
      <t xml:space="preserve"> </t>
    </r>
  </si>
  <si>
    <t>0093598835</t>
  </si>
  <si>
    <t>HIJRAH ZAKIYAH</t>
  </si>
  <si>
    <t>0094365895</t>
  </si>
  <si>
    <t>HILAL NOVIANDRA ACHMAD</t>
  </si>
  <si>
    <t>0099729888</t>
  </si>
  <si>
    <r>
      <t>HULWAH TSABITAH</t>
    </r>
    <r>
      <rPr>
        <sz val="10"/>
        <color indexed="8"/>
        <rFont val="Calibri"/>
        <family val="2"/>
      </rPr>
      <t xml:space="preserve"> </t>
    </r>
  </si>
  <si>
    <t>0106611152</t>
  </si>
  <si>
    <r>
      <t>INAYAH PUTRI SAKINAH</t>
    </r>
    <r>
      <rPr>
        <sz val="10"/>
        <color indexed="8"/>
        <rFont val="Calibri"/>
        <family val="2"/>
      </rPr>
      <t xml:space="preserve"> </t>
    </r>
  </si>
  <si>
    <t>0086578604</t>
  </si>
  <si>
    <t>IWAN</t>
  </si>
  <si>
    <t>0102735075</t>
  </si>
  <si>
    <t>JUNAIDI</t>
  </si>
  <si>
    <t>0108010432</t>
  </si>
  <si>
    <t>M. NASRULLAH AMRI</t>
  </si>
  <si>
    <t>0106458700</t>
  </si>
  <si>
    <t>MIFTAH ZAHRAH AINUNNISA</t>
  </si>
  <si>
    <t>0106523737</t>
  </si>
  <si>
    <t>MUH ARDI ANSYAH H</t>
  </si>
  <si>
    <t>0102772105</t>
  </si>
  <si>
    <r>
      <t>MUH ARIEF SYAHPUTRA</t>
    </r>
    <r>
      <rPr>
        <sz val="10"/>
        <color indexed="8"/>
        <rFont val="Calibri"/>
        <family val="2"/>
      </rPr>
      <t xml:space="preserve"> </t>
    </r>
  </si>
  <si>
    <t>0107918148</t>
  </si>
  <si>
    <t>MUH ARYA ZULKARNAIN</t>
  </si>
  <si>
    <t>0101289668</t>
  </si>
  <si>
    <r>
      <t>MUH FARID SYAPUTRA</t>
    </r>
    <r>
      <rPr>
        <sz val="10"/>
        <color indexed="8"/>
        <rFont val="Calibri"/>
        <family val="2"/>
      </rPr>
      <t xml:space="preserve"> </t>
    </r>
  </si>
  <si>
    <t>0095373891</t>
  </si>
  <si>
    <t>MUH IBNU FAJAR</t>
  </si>
  <si>
    <t>0093797247</t>
  </si>
  <si>
    <r>
      <t>MUHAMMAD HAKAM SHIDIQ</t>
    </r>
    <r>
      <rPr>
        <sz val="10"/>
        <color indexed="8"/>
        <rFont val="Calibri"/>
        <family val="2"/>
      </rPr>
      <t xml:space="preserve"> </t>
    </r>
  </si>
  <si>
    <t>0094879258</t>
  </si>
  <si>
    <r>
      <t>MUTMAINNAH ZAINUDDIN</t>
    </r>
    <r>
      <rPr>
        <sz val="10"/>
        <color indexed="8"/>
        <rFont val="Calibri"/>
        <family val="2"/>
      </rPr>
      <t xml:space="preserve"> </t>
    </r>
  </si>
  <si>
    <t>0092071638</t>
  </si>
  <si>
    <r>
      <t>NUR ASHA DWIYUNI</t>
    </r>
    <r>
      <rPr>
        <sz val="10"/>
        <color indexed="8"/>
        <rFont val="Calibri"/>
        <family val="2"/>
      </rPr>
      <t xml:space="preserve"> </t>
    </r>
  </si>
  <si>
    <t>0087085063</t>
  </si>
  <si>
    <t>NUR ASYAH</t>
  </si>
  <si>
    <t>0098034037</t>
  </si>
  <si>
    <r>
      <t>NURUL HIJRIA</t>
    </r>
    <r>
      <rPr>
        <sz val="10"/>
        <color indexed="8"/>
        <rFont val="Calibri"/>
        <family val="2"/>
      </rPr>
      <t xml:space="preserve"> </t>
    </r>
  </si>
  <si>
    <t>0109126817</t>
  </si>
  <si>
    <t>PUTRI ADINDA PRATIWI</t>
  </si>
  <si>
    <t>0101784215</t>
  </si>
  <si>
    <t>RENITA</t>
  </si>
  <si>
    <t>0099552872</t>
  </si>
  <si>
    <t>SISKA AULIA ARIFIN</t>
  </si>
  <si>
    <t>0091008048</t>
  </si>
  <si>
    <t>SITI NURFADILLAH B</t>
  </si>
  <si>
    <t>0091100961</t>
  </si>
  <si>
    <t>TRI HANDAYANI</t>
  </si>
  <si>
    <t>0108461666</t>
  </si>
  <si>
    <t>VARIZKY AKBAR DIGJAYA</t>
  </si>
  <si>
    <t>0103343783</t>
  </si>
  <si>
    <t>ANNISA CAHYANI PUTRI ARIS</t>
  </si>
  <si>
    <t>p</t>
  </si>
  <si>
    <t>0096933535</t>
  </si>
  <si>
    <t>A. AMMAR SYARIEF</t>
  </si>
  <si>
    <t>X-4</t>
  </si>
  <si>
    <t>0107277820</t>
  </si>
  <si>
    <t>ALYSYA SAHWA ZALZABILA RUSDI</t>
  </si>
  <si>
    <t>0098202721</t>
  </si>
  <si>
    <r>
      <t>AMELIA SUCI DWI PUTRI</t>
    </r>
    <r>
      <rPr>
        <sz val="11"/>
        <color indexed="8"/>
        <rFont val="Calibri"/>
        <family val="2"/>
      </rPr>
      <t xml:space="preserve"> </t>
    </r>
  </si>
  <si>
    <t>0093799142</t>
  </si>
  <si>
    <t>ANDI AQILAH MAHARANI</t>
  </si>
  <si>
    <t>0101312807</t>
  </si>
  <si>
    <t>ARNANDA MASSORA</t>
  </si>
  <si>
    <t>0093690681</t>
  </si>
  <si>
    <t>AYU DIAH LESTARI</t>
  </si>
  <si>
    <t>0093312749</t>
  </si>
  <si>
    <t>DAFFA RAMADAN</t>
  </si>
  <si>
    <t>0093823932</t>
  </si>
  <si>
    <t>DELA SAFIRA</t>
  </si>
  <si>
    <t>0105760330</t>
  </si>
  <si>
    <t>HUMAIRA ZAHRAH</t>
  </si>
  <si>
    <t>0103552356</t>
  </si>
  <si>
    <t>IKBAR NUFAIL</t>
  </si>
  <si>
    <t>0108730356</t>
  </si>
  <si>
    <t>IRNAWATI SRI NANDAPUTRI</t>
  </si>
  <si>
    <t>0105587928</t>
  </si>
  <si>
    <t>MARCHE RA'BUNG</t>
  </si>
  <si>
    <t>0104024390</t>
  </si>
  <si>
    <t>MAULANA NUR IBRAHIM RIDWAN</t>
  </si>
  <si>
    <t>0107857510</t>
  </si>
  <si>
    <t>MUH FADHIL RAHMAN</t>
  </si>
  <si>
    <t>0098207069</t>
  </si>
  <si>
    <t>MUH IBNU AL FARIZI</t>
  </si>
  <si>
    <t>0104552154</t>
  </si>
  <si>
    <t>MUH NURHAMZAH</t>
  </si>
  <si>
    <t>0091479684</t>
  </si>
  <si>
    <t>MUH RIJAL ANSAR</t>
  </si>
  <si>
    <t>0104443624</t>
  </si>
  <si>
    <r>
      <t>MUH.AMAR MA'RUF</t>
    </r>
    <r>
      <rPr>
        <sz val="11"/>
        <color indexed="8"/>
        <rFont val="Calibri"/>
        <family val="2"/>
      </rPr>
      <t xml:space="preserve"> </t>
    </r>
  </si>
  <si>
    <t>0091693753</t>
  </si>
  <si>
    <t>MUH.AWALUL ADZIM MUNTAZAR</t>
  </si>
  <si>
    <t>0107590367</t>
  </si>
  <si>
    <t>MUHAMMAD AKSAR</t>
  </si>
  <si>
    <t>0095662763</t>
  </si>
  <si>
    <t>MUHAMMAD DZACKY ASSALAM</t>
  </si>
  <si>
    <t>MUHAMMAD FIQRI AL FAYYADH SAPRIL</t>
  </si>
  <si>
    <t>0108294441</t>
  </si>
  <si>
    <r>
      <t>MUHAMMAD IQRAM</t>
    </r>
    <r>
      <rPr>
        <sz val="11"/>
        <color indexed="8"/>
        <rFont val="Calibri"/>
        <family val="2"/>
      </rPr>
      <t xml:space="preserve"> </t>
    </r>
  </si>
  <si>
    <t>0116806372</t>
  </si>
  <si>
    <t>NAURA SILVY AULIA H</t>
  </si>
  <si>
    <t>0093316373</t>
  </si>
  <si>
    <t>NUR AZIZAH ADE EKA PUTRI</t>
  </si>
  <si>
    <t>NURHALISA</t>
  </si>
  <si>
    <t>0106772692</t>
  </si>
  <si>
    <t>NURWAHIDA</t>
  </si>
  <si>
    <t>0103538589</t>
  </si>
  <si>
    <t>PUTRI AISYAH</t>
  </si>
  <si>
    <t>QURRATA BAIN AIRUL YUNUS</t>
  </si>
  <si>
    <t>0107247883</t>
  </si>
  <si>
    <t>SALSABILA SANI PUTRI S</t>
  </si>
  <si>
    <t>0108964120</t>
  </si>
  <si>
    <t>SITI LATIFAH NUR</t>
  </si>
  <si>
    <t>0106130129</t>
  </si>
  <si>
    <t>SITI SAFWA HAMZAH</t>
  </si>
  <si>
    <t>0098497018</t>
  </si>
  <si>
    <t>SULISTIYAWATI DAINI</t>
  </si>
  <si>
    <t>0102873990</t>
  </si>
  <si>
    <t>SYAHRULLAH PRATAMA.A</t>
  </si>
  <si>
    <t>0106937362</t>
  </si>
  <si>
    <t>VERONICA</t>
  </si>
  <si>
    <t>0101682710</t>
  </si>
  <si>
    <t>ADNAN ARDANI ZAKARIA</t>
  </si>
  <si>
    <t>X-5</t>
  </si>
  <si>
    <t>0096284609</t>
  </si>
  <si>
    <t>ANDINI ARTIN MAWAHDA</t>
  </si>
  <si>
    <t>0104077090</t>
  </si>
  <si>
    <t xml:space="preserve">ANGGA ASHARI IRAWAN </t>
  </si>
  <si>
    <t>0083313416</t>
  </si>
  <si>
    <t>ANITA PUTRI</t>
  </si>
  <si>
    <t>0097095652</t>
  </si>
  <si>
    <t>BASO RAHMAT NURHIDAYAT AKBAR</t>
  </si>
  <si>
    <t>0095497693</t>
  </si>
  <si>
    <t>CELSI</t>
  </si>
  <si>
    <t>0092932098</t>
  </si>
  <si>
    <t>CHERY AULIA ZAITUL SYAHNA</t>
  </si>
  <si>
    <t>0103468901</t>
  </si>
  <si>
    <t>EIFEL DHUHA QURANINA</t>
  </si>
  <si>
    <t>IBRAHIM</t>
  </si>
  <si>
    <t>0108426777</t>
  </si>
  <si>
    <t>INSANI MARWAH ASMIN</t>
  </si>
  <si>
    <t>0097336367</t>
  </si>
  <si>
    <t xml:space="preserve">IRMA AINUN SALIM </t>
  </si>
  <si>
    <t>0097820984</t>
  </si>
  <si>
    <t>ISLAMIAH FADILLAH SARI</t>
  </si>
  <si>
    <t>0097989759</t>
  </si>
  <si>
    <t>KHANSA FAYOLA ELVARETTA</t>
  </si>
  <si>
    <t>0101791594</t>
  </si>
  <si>
    <t>LIZTYA DEWI AMANDA</t>
  </si>
  <si>
    <t>0102512324</t>
  </si>
  <si>
    <t>MOH.NAFIL KHAERIL KHANIF</t>
  </si>
  <si>
    <t>0092838509</t>
  </si>
  <si>
    <t xml:space="preserve">MUH IFAN SAHRUL </t>
  </si>
  <si>
    <t>0099707073</t>
  </si>
  <si>
    <t>MUH NABIL ARRAYYAN</t>
  </si>
  <si>
    <t>0094376474</t>
  </si>
  <si>
    <t>MUH RAPLI</t>
  </si>
  <si>
    <t>0104825552</t>
  </si>
  <si>
    <t>MUH RIZAL BARAKKA</t>
  </si>
  <si>
    <t>0102088865</t>
  </si>
  <si>
    <t>MUH RIZKY PEPRIANTO</t>
  </si>
  <si>
    <t>0109998661</t>
  </si>
  <si>
    <t>MUH. DAFFA KHAERUL IZZAH</t>
  </si>
  <si>
    <t>0102057257</t>
  </si>
  <si>
    <t>MUH. SYAHLAND RISKY</t>
  </si>
  <si>
    <t>0091001922</t>
  </si>
  <si>
    <t>MUH.FAREL AL GASALI</t>
  </si>
  <si>
    <t>0107885895</t>
  </si>
  <si>
    <t>MUH.FAYYADH MU'AFA</t>
  </si>
  <si>
    <t>0101215340</t>
  </si>
  <si>
    <t>MUHAMMAD YUSUF</t>
  </si>
  <si>
    <t xml:space="preserve">NUR AISYAH RAHMADANI </t>
  </si>
  <si>
    <t>0106673731</t>
  </si>
  <si>
    <t>NUR NAIMA</t>
  </si>
  <si>
    <t>0104675912</t>
  </si>
  <si>
    <t>NUR QOLBI RAMADHANI</t>
  </si>
  <si>
    <t>PUTRI ZALZABILAH</t>
  </si>
  <si>
    <t>0109038018</t>
  </si>
  <si>
    <t>RADITASARI</t>
  </si>
  <si>
    <t>0095333385</t>
  </si>
  <si>
    <t xml:space="preserve">RAFA ADELIO THALIB </t>
  </si>
  <si>
    <t>0095348300</t>
  </si>
  <si>
    <t xml:space="preserve">RAIHAN ZAKWAN RAMADHAN </t>
  </si>
  <si>
    <t>0091445390</t>
  </si>
  <si>
    <t>RENI FITRIA SAHAB</t>
  </si>
  <si>
    <t>0104946056</t>
  </si>
  <si>
    <t>RISDA APRILIA</t>
  </si>
  <si>
    <t>0093414452</t>
  </si>
  <si>
    <t>SRI CAHYANI.RIDWA</t>
  </si>
  <si>
    <t>0061772083</t>
  </si>
  <si>
    <t>SYWAQIA AMALA YESRIANTO</t>
  </si>
  <si>
    <t>0097669612</t>
  </si>
  <si>
    <t>AIRA ALMIRA</t>
  </si>
  <si>
    <t>X-6</t>
  </si>
  <si>
    <t>0109035842</t>
  </si>
  <si>
    <t>ANDI AIRA PUTRI</t>
  </si>
  <si>
    <r>
      <t>AQILAH NAJLA ADELIA</t>
    </r>
    <r>
      <rPr>
        <sz val="10"/>
        <color indexed="8"/>
        <rFont val="Calibri"/>
        <family val="2"/>
      </rPr>
      <t xml:space="preserve"> </t>
    </r>
  </si>
  <si>
    <t>0107971690</t>
  </si>
  <si>
    <r>
      <t>DZAKIYAH LATHIFAH MOUZHAR</t>
    </r>
    <r>
      <rPr>
        <sz val="10"/>
        <color indexed="8"/>
        <rFont val="Calibri"/>
        <family val="2"/>
      </rPr>
      <t xml:space="preserve"> </t>
    </r>
  </si>
  <si>
    <t>FEBY NUR AZIZA</t>
  </si>
  <si>
    <t>0078084975</t>
  </si>
  <si>
    <r>
      <t>FELMA FARELINA HAFIED</t>
    </r>
    <r>
      <rPr>
        <sz val="10"/>
        <color indexed="8"/>
        <rFont val="Calibri"/>
        <family val="2"/>
      </rPr>
      <t xml:space="preserve"> </t>
    </r>
  </si>
  <si>
    <t>0093028359</t>
  </si>
  <si>
    <r>
      <t>FIRMAN ALDIANSYA</t>
    </r>
    <r>
      <rPr>
        <sz val="10"/>
        <color indexed="8"/>
        <rFont val="Calibri"/>
        <family val="2"/>
      </rPr>
      <t xml:space="preserve"> </t>
    </r>
  </si>
  <si>
    <t>0096269375</t>
  </si>
  <si>
    <t>KAREN CLARISSA GWINETH LUMENTA</t>
  </si>
  <si>
    <t>0101349555</t>
  </si>
  <si>
    <r>
      <t>LETICIA NITA AGRASIANA</t>
    </r>
    <r>
      <rPr>
        <sz val="10"/>
        <color indexed="8"/>
        <rFont val="Calibri"/>
        <family val="2"/>
      </rPr>
      <t xml:space="preserve"> </t>
    </r>
  </si>
  <si>
    <t>0103235787</t>
  </si>
  <si>
    <t>M.Y.IMAMAL.DF</t>
  </si>
  <si>
    <t>0081318112</t>
  </si>
  <si>
    <t>MILDA SARI</t>
  </si>
  <si>
    <t>0102285479</t>
  </si>
  <si>
    <t>MUH AGUNG</t>
  </si>
  <si>
    <t>0107223384</t>
  </si>
  <si>
    <r>
      <t>MUH SAFAR</t>
    </r>
    <r>
      <rPr>
        <sz val="10"/>
        <color indexed="8"/>
        <rFont val="Calibri"/>
        <family val="2"/>
      </rPr>
      <t xml:space="preserve"> </t>
    </r>
  </si>
  <si>
    <t>0103208993</t>
  </si>
  <si>
    <t>MUH.APRISAL</t>
  </si>
  <si>
    <t>0102884984</t>
  </si>
  <si>
    <t>MUH.FAKHRY AS'SUDA'IS</t>
  </si>
  <si>
    <t>0106090318</t>
  </si>
  <si>
    <r>
      <t>MUH.IBNU AKBAR</t>
    </r>
    <r>
      <rPr>
        <sz val="10"/>
        <color indexed="8"/>
        <rFont val="Calibri"/>
        <family val="2"/>
      </rPr>
      <t xml:space="preserve"> </t>
    </r>
  </si>
  <si>
    <t>0095935907</t>
  </si>
  <si>
    <t>MUH.REZKI CESA MANDALA</t>
  </si>
  <si>
    <t>0091994803</t>
  </si>
  <si>
    <t>MUHAMMAD AL-GAZALI</t>
  </si>
  <si>
    <t>0107321286</t>
  </si>
  <si>
    <t>MUHAMMAD HASBI ASYAFIQ</t>
  </si>
  <si>
    <t>0091973721</t>
  </si>
  <si>
    <r>
      <t>MUHAMMAD KASIR</t>
    </r>
    <r>
      <rPr>
        <sz val="10"/>
        <color indexed="8"/>
        <rFont val="Calibri"/>
        <family val="2"/>
      </rPr>
      <t xml:space="preserve"> </t>
    </r>
  </si>
  <si>
    <t>0106980486</t>
  </si>
  <si>
    <r>
      <t>MUHAMMAD MURSYID FASHA</t>
    </r>
    <r>
      <rPr>
        <sz val="10"/>
        <color indexed="8"/>
        <rFont val="Calibri"/>
        <family val="2"/>
      </rPr>
      <t xml:space="preserve"> </t>
    </r>
  </si>
  <si>
    <t>0103798061</t>
  </si>
  <si>
    <t>MUHAMMAD RAFFA</t>
  </si>
  <si>
    <t>0107464205</t>
  </si>
  <si>
    <t>NANDA ARYA DZAKI</t>
  </si>
  <si>
    <t>0106627850</t>
  </si>
  <si>
    <t>NUR SABHI NADILA</t>
  </si>
  <si>
    <t>0097712147</t>
  </si>
  <si>
    <r>
      <t>NURAIFA AZZAHRA</t>
    </r>
    <r>
      <rPr>
        <sz val="10"/>
        <color indexed="8"/>
        <rFont val="Calibri"/>
        <family val="2"/>
      </rPr>
      <t xml:space="preserve"> </t>
    </r>
  </si>
  <si>
    <t>0093890342</t>
  </si>
  <si>
    <t>RAGIEL OKAN SYAHREZA</t>
  </si>
  <si>
    <t>0093682263</t>
  </si>
  <si>
    <r>
      <t>RAHMAT HIDAYAT</t>
    </r>
    <r>
      <rPr>
        <sz val="10"/>
        <color indexed="8"/>
        <rFont val="Calibri"/>
        <family val="2"/>
      </rPr>
      <t xml:space="preserve"> </t>
    </r>
  </si>
  <si>
    <t>0107729941</t>
  </si>
  <si>
    <t>RAMA ELYAKIM TOMBILANGI</t>
  </si>
  <si>
    <t>0098757513</t>
  </si>
  <si>
    <t>RESTI ANISA</t>
  </si>
  <si>
    <t>0104438025</t>
  </si>
  <si>
    <t>REZKY RHAMADANI FAIZAL</t>
  </si>
  <si>
    <t>RISKA APRILIA</t>
  </si>
  <si>
    <t>0094073356</t>
  </si>
  <si>
    <t>RISMA D</t>
  </si>
  <si>
    <t>0093365830</t>
  </si>
  <si>
    <t>SITI NURHAYATI FUJIKO</t>
  </si>
  <si>
    <t>0104081881</t>
  </si>
  <si>
    <t>SYAFITRI RAHMADYA NINGSIH</t>
  </si>
  <si>
    <t>0099435633</t>
  </si>
  <si>
    <r>
      <t>YULIANA SARI</t>
    </r>
    <r>
      <rPr>
        <sz val="10"/>
        <color indexed="8"/>
        <rFont val="Calibri"/>
        <family val="2"/>
      </rPr>
      <t xml:space="preserve"> </t>
    </r>
  </si>
  <si>
    <t>0095166808</t>
  </si>
  <si>
    <t>RANE RAMADHANI</t>
  </si>
  <si>
    <t>0099172915</t>
  </si>
  <si>
    <t>A.NUGRAH CLAUDYSTYRA IWAN</t>
  </si>
  <si>
    <t>X-7</t>
  </si>
  <si>
    <t>0094022444</t>
  </si>
  <si>
    <t>ABIB SAID FIRDAUS</t>
  </si>
  <si>
    <t>007526520</t>
  </si>
  <si>
    <t>AHMAD IDHAM</t>
  </si>
  <si>
    <t>0105647661</t>
  </si>
  <si>
    <t>ASADI</t>
  </si>
  <si>
    <t>0093020379</t>
  </si>
  <si>
    <t>AULIA AGUSTI RAMDHANI R</t>
  </si>
  <si>
    <t>0098758286</t>
  </si>
  <si>
    <t>DARMAWANSYAH.D</t>
  </si>
  <si>
    <t>0102275426</t>
  </si>
  <si>
    <t>DEWI SRI ASRIANI</t>
  </si>
  <si>
    <t>0093206419</t>
  </si>
  <si>
    <t>FAIRAH AZZAHRA</t>
  </si>
  <si>
    <t>0102122931</t>
  </si>
  <si>
    <t>FITRI SULIATI</t>
  </si>
  <si>
    <t>0095519714</t>
  </si>
  <si>
    <t>LISNA M.</t>
  </si>
  <si>
    <t>0106222985</t>
  </si>
  <si>
    <t>MIFTHAHUL KHAIR BASTIAN M</t>
  </si>
  <si>
    <t>0093674812</t>
  </si>
  <si>
    <t>MUH AIDIL AKBAR D</t>
  </si>
  <si>
    <t>0108316870</t>
  </si>
  <si>
    <t>MUH ALFATH DIRSYAD MUS</t>
  </si>
  <si>
    <t>0092927562</t>
  </si>
  <si>
    <t>MUH RAYHAN DARMAWAN</t>
  </si>
  <si>
    <t>0101605630</t>
  </si>
  <si>
    <t>MUH. FAJRI AL SAMS</t>
  </si>
  <si>
    <t>0099874016</t>
  </si>
  <si>
    <t>MUH.ARIFIN</t>
  </si>
  <si>
    <t>0101838397</t>
  </si>
  <si>
    <t>MUH.IRFAN EFENDI</t>
  </si>
  <si>
    <t>0109196910</t>
  </si>
  <si>
    <t>MUH.LUTFI</t>
  </si>
  <si>
    <t>0095411081</t>
  </si>
  <si>
    <t>MUH.RAJA ARDIANSYAH</t>
  </si>
  <si>
    <t>0093441989</t>
  </si>
  <si>
    <t>MUH.YUSUF M.SAING</t>
  </si>
  <si>
    <t>0095850775</t>
  </si>
  <si>
    <t>NABILA SAFIRA</t>
  </si>
  <si>
    <t>0103698659</t>
  </si>
  <si>
    <t>NADIA DWI ANGGRAENI</t>
  </si>
  <si>
    <t>0107308862</t>
  </si>
  <si>
    <t>NUR SABHI NADIRA</t>
  </si>
  <si>
    <t>0091457717</t>
  </si>
  <si>
    <t>NURAENI</t>
  </si>
  <si>
    <t>0099616923</t>
  </si>
  <si>
    <t xml:space="preserve">PUTRI HUMAIRA </t>
  </si>
  <si>
    <t>0104611488</t>
  </si>
  <si>
    <t>RAFIKA PUTRI KIRANA R</t>
  </si>
  <si>
    <t>0095056348</t>
  </si>
  <si>
    <t>RASUL</t>
  </si>
  <si>
    <t>0104211700</t>
  </si>
  <si>
    <t>RESQY MUH NUR</t>
  </si>
  <si>
    <t>0094741275</t>
  </si>
  <si>
    <t>RIZKY KIRANI</t>
  </si>
  <si>
    <t>0105722795</t>
  </si>
  <si>
    <t xml:space="preserve">SITI NUR FAIRAH </t>
  </si>
  <si>
    <t>0091957318</t>
  </si>
  <si>
    <t xml:space="preserve">SITTI MARWAH </t>
  </si>
  <si>
    <t>0105537473</t>
  </si>
  <si>
    <t xml:space="preserve">WULAN RAMADANI ELLY </t>
  </si>
  <si>
    <t>0092432745</t>
  </si>
  <si>
    <t>ZAHROTUN NIZAK</t>
  </si>
  <si>
    <t>0102841657</t>
  </si>
  <si>
    <t>ZALSA HAFIZAH</t>
  </si>
  <si>
    <t>0093711093</t>
  </si>
  <si>
    <t>ZHALWA ZHAHIYYAH PUTRI.A.</t>
  </si>
  <si>
    <t>0091421051</t>
  </si>
  <si>
    <t>A.FATHIMAH AZ ZAHRA</t>
  </si>
  <si>
    <t>X-8</t>
  </si>
  <si>
    <t>AHMAD GILANG ARDIANSYAH</t>
  </si>
  <si>
    <t>AKBAR RANDA PRATAMA</t>
  </si>
  <si>
    <t>0105989418</t>
  </si>
  <si>
    <t>ASYAM MUZHAFFAR ALFARABI</t>
  </si>
  <si>
    <t>0091478597</t>
  </si>
  <si>
    <t>AULIA AHMAD</t>
  </si>
  <si>
    <t>DIAN FAYIQAH</t>
  </si>
  <si>
    <t>0098889685</t>
  </si>
  <si>
    <t>FUTRI.J</t>
  </si>
  <si>
    <t>0109018941</t>
  </si>
  <si>
    <r>
      <t>GILANG RAMADHAN PRATAMA</t>
    </r>
    <r>
      <rPr>
        <sz val="10"/>
        <color indexed="8"/>
        <rFont val="Calibri"/>
        <family val="2"/>
      </rPr>
      <t xml:space="preserve"> </t>
    </r>
  </si>
  <si>
    <t>0109749124</t>
  </si>
  <si>
    <r>
      <t>HAZIQAH SYUHRAH SYARAFANA</t>
    </r>
    <r>
      <rPr>
        <sz val="10"/>
        <color indexed="8"/>
        <rFont val="Calibri"/>
        <family val="2"/>
      </rPr>
      <t xml:space="preserve"> </t>
    </r>
  </si>
  <si>
    <t>0106098566</t>
  </si>
  <si>
    <t>LULU ATHIR DIBA</t>
  </si>
  <si>
    <t>M.JAYNUDDIN NUR MAJID</t>
  </si>
  <si>
    <t>0092201133</t>
  </si>
  <si>
    <r>
      <t>MITA SHAFIRA ZAKARIA</t>
    </r>
    <r>
      <rPr>
        <sz val="10"/>
        <color indexed="8"/>
        <rFont val="Calibri"/>
        <family val="2"/>
      </rPr>
      <t xml:space="preserve"> </t>
    </r>
  </si>
  <si>
    <t>MUH ASSIDQY HILMY RAHMAN</t>
  </si>
  <si>
    <t>MUH HARDIANSYAH</t>
  </si>
  <si>
    <t>0109760777</t>
  </si>
  <si>
    <t>MUH SHABIR</t>
  </si>
  <si>
    <t>0105726876</t>
  </si>
  <si>
    <t>MUH. KHALFANI REGAN. B</t>
  </si>
  <si>
    <t>0098140824</t>
  </si>
  <si>
    <t>MUH.FAHRI</t>
  </si>
  <si>
    <t>0104757184</t>
  </si>
  <si>
    <t>MUH.IRSYAM SAPUTRA</t>
  </si>
  <si>
    <t>0107345635</t>
  </si>
  <si>
    <t>MUHAMMAD YASIN NUR FADILAH MISBACH</t>
  </si>
  <si>
    <t>0109313359</t>
  </si>
  <si>
    <t>NABILAH AULIAH NASRUL</t>
  </si>
  <si>
    <t>0094006533</t>
  </si>
  <si>
    <t>NUR AQILA SASKIAH</t>
  </si>
  <si>
    <t>0091217307</t>
  </si>
  <si>
    <t>NUR AWHULIA</t>
  </si>
  <si>
    <t>0099488291</t>
  </si>
  <si>
    <r>
      <t>NUR FADILAH RAMADHANI</t>
    </r>
    <r>
      <rPr>
        <sz val="10"/>
        <color indexed="8"/>
        <rFont val="Calibri"/>
        <family val="2"/>
      </rPr>
      <t xml:space="preserve"> </t>
    </r>
  </si>
  <si>
    <t>NUR HIKMAH</t>
  </si>
  <si>
    <t>0105737642</t>
  </si>
  <si>
    <t>NUR ZAHRA</t>
  </si>
  <si>
    <t>0095469034</t>
  </si>
  <si>
    <t>NURQALBY IQBAL</t>
  </si>
  <si>
    <t>0105808459</t>
  </si>
  <si>
    <t>NURUL AQILAH ISLAMI</t>
  </si>
  <si>
    <t>0108938816</t>
  </si>
  <si>
    <t>NURUL HIDAYAH BAHAR</t>
  </si>
  <si>
    <t>0099857977</t>
  </si>
  <si>
    <t>PERMATA UMI SYAFIRA</t>
  </si>
  <si>
    <t>0101805243</t>
  </si>
  <si>
    <r>
      <t>REZA ADITYA</t>
    </r>
    <r>
      <rPr>
        <sz val="10"/>
        <color indexed="8"/>
        <rFont val="Calibri"/>
        <family val="2"/>
      </rPr>
      <t xml:space="preserve"> </t>
    </r>
  </si>
  <si>
    <t>0109014973</t>
  </si>
  <si>
    <t>RIMAL NUGRAHA</t>
  </si>
  <si>
    <t>0093836663</t>
  </si>
  <si>
    <t>ROSYIDAH ZAHIRAH RUSTAM</t>
  </si>
  <si>
    <t>0109349748</t>
  </si>
  <si>
    <r>
      <t>SADARIAH</t>
    </r>
    <r>
      <rPr>
        <sz val="10"/>
        <color indexed="8"/>
        <rFont val="Calibri"/>
        <family val="2"/>
      </rPr>
      <t xml:space="preserve"> </t>
    </r>
  </si>
  <si>
    <t>0097324429</t>
  </si>
  <si>
    <t>STEPHANIE MONICA GUMALAG</t>
  </si>
  <si>
    <t>0098708363</t>
  </si>
  <si>
    <t>ZAHRA AMELIA</t>
  </si>
  <si>
    <t>0097204019</t>
  </si>
  <si>
    <t>M.ALIF SYAFIQ WIJDAN PS</t>
  </si>
  <si>
    <t>0102473968</t>
  </si>
  <si>
    <t>ABU MUHAMMAD ABDULLAH</t>
  </si>
  <si>
    <t>X-9</t>
  </si>
  <si>
    <t>0098469888</t>
  </si>
  <si>
    <t>AIDA NUR SYAZHWINA</t>
  </si>
  <si>
    <t>0094027915</t>
  </si>
  <si>
    <t>ARBAIAH</t>
  </si>
  <si>
    <t>0104378438</t>
  </si>
  <si>
    <t>AULIA ANASTASYA PUTRI</t>
  </si>
  <si>
    <t>0091120264</t>
  </si>
  <si>
    <t>BINTANG EZA AHDYAT</t>
  </si>
  <si>
    <t>DZAQIRAH INDRIANA</t>
  </si>
  <si>
    <t>0097574878</t>
  </si>
  <si>
    <r>
      <t>HAFISA</t>
    </r>
    <r>
      <rPr>
        <sz val="10"/>
        <color indexed="8"/>
        <rFont val="Calibri"/>
        <family val="2"/>
      </rPr>
      <t xml:space="preserve"> </t>
    </r>
  </si>
  <si>
    <t>0098115948</t>
  </si>
  <si>
    <t>IIN NUR ALISYA</t>
  </si>
  <si>
    <t>0096478682</t>
  </si>
  <si>
    <t>KHUMAIRAH NUR QAALBI</t>
  </si>
  <si>
    <t>0101644211</t>
  </si>
  <si>
    <t>LUKMANUL HAKIM</t>
  </si>
  <si>
    <t>0093234444</t>
  </si>
  <si>
    <t>MARSYA RAMADANI</t>
  </si>
  <si>
    <t>0101264506</t>
  </si>
  <si>
    <t>MUH ADIF ANDIANSA</t>
  </si>
  <si>
    <t>0098601891</t>
  </si>
  <si>
    <r>
      <t>MUH DAFFA SUYANTO</t>
    </r>
    <r>
      <rPr>
        <sz val="10"/>
        <color indexed="8"/>
        <rFont val="Calibri"/>
        <family val="2"/>
      </rPr>
      <t xml:space="preserve"> </t>
    </r>
  </si>
  <si>
    <t>0098290905</t>
  </si>
  <si>
    <t>MUH RASUL AULIA HARIS</t>
  </si>
  <si>
    <t>0103140883</t>
  </si>
  <si>
    <t>MUH. RAFA ALJABAR R. S.</t>
  </si>
  <si>
    <t>0108068968</t>
  </si>
  <si>
    <t>MUH. RAFI SYAIHAN</t>
  </si>
  <si>
    <t>0105351607</t>
  </si>
  <si>
    <t>MUH.FAUZAN ASSHOFIE</t>
  </si>
  <si>
    <t>MUHAMMAD ARIFIN SYAM</t>
  </si>
  <si>
    <r>
      <t>MUHAMMAD NABIL PARMA</t>
    </r>
    <r>
      <rPr>
        <sz val="10"/>
        <color indexed="8"/>
        <rFont val="Calibri"/>
        <family val="2"/>
      </rPr>
      <t xml:space="preserve"> </t>
    </r>
  </si>
  <si>
    <t>0103820496</t>
  </si>
  <si>
    <t>MUZIFAH AZ-ZAHRA</t>
  </si>
  <si>
    <t>0108263077</t>
  </si>
  <si>
    <t>NADIA SYIFA QIRANA</t>
  </si>
  <si>
    <t>0095097594</t>
  </si>
  <si>
    <r>
      <t>NADIRA NATSIR</t>
    </r>
    <r>
      <rPr>
        <sz val="10"/>
        <color indexed="8"/>
        <rFont val="Calibri"/>
        <family val="2"/>
      </rPr>
      <t xml:space="preserve"> </t>
    </r>
  </si>
  <si>
    <t>0101198076</t>
  </si>
  <si>
    <t>NURASIFA FIRDAUS</t>
  </si>
  <si>
    <t>0091453479</t>
  </si>
  <si>
    <t>NURUL DWI AULIAH</t>
  </si>
  <si>
    <t>0106951177</t>
  </si>
  <si>
    <t>PITRA</t>
  </si>
  <si>
    <t>0105808674</t>
  </si>
  <si>
    <t>QUEENA AURELIA ISWANDI</t>
  </si>
  <si>
    <t>0106366872</t>
  </si>
  <si>
    <r>
      <t>RAHAYU REZKY AMELIA</t>
    </r>
    <r>
      <rPr>
        <sz val="10"/>
        <color indexed="8"/>
        <rFont val="Calibri"/>
        <family val="2"/>
      </rPr>
      <t xml:space="preserve"> </t>
    </r>
  </si>
  <si>
    <t>0107320968</t>
  </si>
  <si>
    <t>REZA ARIANTO</t>
  </si>
  <si>
    <t>0091322570</t>
  </si>
  <si>
    <r>
      <t>RIAN PRASANDI</t>
    </r>
    <r>
      <rPr>
        <sz val="10"/>
        <color indexed="8"/>
        <rFont val="Calibri"/>
        <family val="2"/>
      </rPr>
      <t xml:space="preserve"> </t>
    </r>
  </si>
  <si>
    <t>0093168004</t>
  </si>
  <si>
    <t>RICHARD ALPONS</t>
  </si>
  <si>
    <t>0093759943</t>
  </si>
  <si>
    <t>SABRIAN</t>
  </si>
  <si>
    <t>SALMA ISMAIL</t>
  </si>
  <si>
    <t>0096627429</t>
  </si>
  <si>
    <t>SANDIIBRAHIM</t>
  </si>
  <si>
    <t>0095277091</t>
  </si>
  <si>
    <r>
      <t>SAZKIA NOVIANA INDRI</t>
    </r>
    <r>
      <rPr>
        <sz val="10"/>
        <color indexed="8"/>
        <rFont val="Calibri"/>
        <family val="2"/>
      </rPr>
      <t xml:space="preserve"> </t>
    </r>
  </si>
  <si>
    <t>0106987743</t>
  </si>
  <si>
    <r>
      <t>ST. EMIRA GIZA HUMAIRAH</t>
    </r>
    <r>
      <rPr>
        <sz val="10"/>
        <color indexed="8"/>
        <rFont val="Calibri"/>
        <family val="2"/>
      </rPr>
      <t xml:space="preserve"> </t>
    </r>
  </si>
  <si>
    <t>0089669551</t>
  </si>
  <si>
    <t>Muh. Ghaisan Ibrahim Al-Gian</t>
  </si>
  <si>
    <t>NON MUSLIM</t>
  </si>
  <si>
    <t>KELAS XI</t>
  </si>
  <si>
    <t>KELAS X</t>
  </si>
  <si>
    <t>UNTUK SOAL AGAMA : NAMA SOAL SAJA DI PERJELAS</t>
  </si>
  <si>
    <t>UNTUK SELURUH SOAL MATA PELAJARAN DIIKUTKAN NAMA GURUNYA CONTOH :</t>
  </si>
  <si>
    <t>NAMA FILENYA : KIMIA-X_MAHARANI</t>
  </si>
  <si>
    <t>MATA PELAJARAN KIMIA KELAS X DAN NAMA GURU MAHARANI dan ARIFAH</t>
  </si>
  <si>
    <t>KIMIA-X_ARIFAH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</si>
</sst>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Arial"/>
      <family val="2"/>
    </font>
    <font>
      <sz val="12"/>
      <name val="Arial Narrow"/>
      <family val="2"/>
    </font>
    <font>
      <sz val="11"/>
      <name val="Arial Narrow"/>
      <family val="2"/>
    </font>
    <font>
      <sz val="11"/>
      <name val="Times New Roman"/>
      <family val="1"/>
    </font>
    <font>
      <sz val="11"/>
      <name val="Calibri"/>
      <family val="2"/>
    </font>
    <font>
      <sz val="11"/>
      <color rgb="FF000000"/>
      <name val="Arial"/>
      <family val="2"/>
    </font>
    <font>
      <sz val="12"/>
      <color rgb="FF000000"/>
      <name val="Arial Narrow"/>
      <family val="2"/>
    </font>
    <font>
      <sz val="11"/>
      <color theme="1"/>
      <name val="Arial Narrow"/>
      <family val="2"/>
    </font>
    <font>
      <sz val="10"/>
      <color rgb="FFFF0000"/>
      <name val="Calibri"/>
      <family val="2"/>
      <scheme val="minor"/>
    </font>
    <font>
      <b/>
      <sz val="11"/>
      <name val="Arial Narrow"/>
      <family val="2"/>
    </font>
    <font>
      <b/>
      <sz val="11"/>
      <color rgb="FFC00000"/>
      <name val="Arial"/>
      <family val="2"/>
    </font>
    <font>
      <sz val="12"/>
      <color indexed="8"/>
      <name val="Arial Narrow"/>
      <family val="2"/>
    </font>
    <font>
      <sz val="11"/>
      <color rgb="FFFF0000"/>
      <name val="Calibri"/>
      <family val="2"/>
      <scheme val="minor"/>
    </font>
    <font>
      <sz val="12"/>
      <color rgb="FF000000"/>
      <name val="Times New Roman"/>
      <family val="1"/>
    </font>
    <font>
      <b/>
      <i/>
      <sz val="11"/>
      <name val="Arial Narrow"/>
      <family val="2"/>
    </font>
    <font>
      <sz val="10"/>
      <name val="Calibri"/>
      <family val="2"/>
    </font>
    <font>
      <sz val="10"/>
      <color rgb="FF9C0006"/>
      <name val="Calibri"/>
      <family val="2"/>
    </font>
    <font>
      <sz val="10"/>
      <color rgb="FF000000"/>
      <name val="Calibri"/>
      <family val="2"/>
    </font>
    <font>
      <sz val="11"/>
      <color rgb="FF9C0006"/>
      <name val="Calibri"/>
      <family val="2"/>
    </font>
    <font>
      <b/>
      <sz val="11"/>
      <color rgb="FF000000"/>
      <name val="Arial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indexed="8"/>
      <name val="Calibri"/>
      <family val="2"/>
    </font>
    <font>
      <sz val="10"/>
      <color rgb="FF9C0006"/>
      <name val="Arial Narrow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name val="Arial Narrow"/>
      <family val="2"/>
    </font>
    <font>
      <sz val="12"/>
      <color theme="1"/>
      <name val="Arial Narrow"/>
      <family val="2"/>
    </font>
    <font>
      <sz val="12"/>
      <color rgb="FF9C0006"/>
      <name val="Calibri"/>
      <family val="2"/>
    </font>
    <font>
      <sz val="11"/>
      <color theme="0"/>
      <name val="Calibri"/>
      <family val="2"/>
      <scheme val="minor"/>
    </font>
    <font>
      <sz val="20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2"/>
      <color rgb="FFFF0000"/>
      <name val="Calibri"/>
      <family val="2"/>
      <charset val="1"/>
      <scheme val="minor"/>
    </font>
    <font>
      <b/>
      <sz val="12"/>
      <color rgb="FFFF0000"/>
      <name val="Arial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2B4B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29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 applyProtection="1">
      <alignment horizontal="center" vertical="center"/>
      <protection hidden="1"/>
    </xf>
    <xf numFmtId="49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shrinkToFi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left" vertical="center" shrinkToFit="1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vertical="center" shrinkToFit="1"/>
      <protection locked="0"/>
    </xf>
    <xf numFmtId="0" fontId="3" fillId="4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shrinkToFit="1"/>
    </xf>
    <xf numFmtId="0" fontId="8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left" vertical="center" shrinkToFit="1"/>
    </xf>
    <xf numFmtId="0" fontId="9" fillId="3" borderId="1" xfId="0" applyFont="1" applyFill="1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 vertical="center"/>
      <protection hidden="1"/>
    </xf>
    <xf numFmtId="49" fontId="10" fillId="0" borderId="1" xfId="0" applyNumberFormat="1" applyFont="1" applyBorder="1" applyAlignment="1">
      <alignment horizontal="center" vertical="center"/>
    </xf>
    <xf numFmtId="0" fontId="11" fillId="4" borderId="1" xfId="0" applyFont="1" applyFill="1" applyBorder="1" applyAlignment="1">
      <alignment shrinkToFi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3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left" vertical="center" shrinkToFit="1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shrinkToFit="1"/>
      <protection locked="0"/>
    </xf>
    <xf numFmtId="0" fontId="11" fillId="4" borderId="1" xfId="0" applyFont="1" applyFill="1" applyBorder="1" applyAlignment="1" applyProtection="1">
      <alignment horizontal="center"/>
      <protection locked="0"/>
    </xf>
    <xf numFmtId="0" fontId="11" fillId="4" borderId="1" xfId="0" applyFont="1" applyFill="1" applyBorder="1" applyAlignment="1" applyProtection="1">
      <alignment vertical="center" shrinkToFit="1"/>
      <protection locked="0"/>
    </xf>
    <xf numFmtId="0" fontId="0" fillId="6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shrinkToFit="1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3" xfId="0" applyFont="1" applyFill="1" applyBorder="1"/>
    <xf numFmtId="0" fontId="4" fillId="7" borderId="1" xfId="0" applyFont="1" applyFill="1" applyBorder="1"/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 applyProtection="1">
      <alignment horizontal="left" vertical="center" shrinkToFit="1"/>
      <protection locked="0"/>
    </xf>
    <xf numFmtId="0" fontId="6" fillId="7" borderId="1" xfId="0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 applyProtection="1">
      <alignment shrinkToFit="1"/>
      <protection locked="0"/>
    </xf>
    <xf numFmtId="0" fontId="6" fillId="7" borderId="1" xfId="0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 applyProtection="1">
      <alignment vertical="center" shrinkToFit="1"/>
      <protection locked="0"/>
    </xf>
    <xf numFmtId="0" fontId="3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shrinkToFit="1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3" xfId="0" applyFont="1" applyFill="1" applyBorder="1"/>
    <xf numFmtId="0" fontId="4" fillId="9" borderId="1" xfId="0" applyFont="1" applyFill="1" applyBorder="1"/>
    <xf numFmtId="0" fontId="4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 applyProtection="1">
      <alignment horizontal="left" vertical="center" shrinkToFit="1"/>
      <protection locked="0"/>
    </xf>
    <xf numFmtId="0" fontId="6" fillId="9" borderId="1" xfId="0" applyFont="1" applyFill="1" applyBorder="1" applyAlignment="1" applyProtection="1">
      <alignment horizontal="center" vertical="center" wrapText="1"/>
      <protection locked="0"/>
    </xf>
    <xf numFmtId="0" fontId="6" fillId="9" borderId="1" xfId="0" applyFont="1" applyFill="1" applyBorder="1" applyAlignment="1" applyProtection="1">
      <alignment vertical="center" shrinkToFit="1"/>
      <protection locked="0"/>
    </xf>
    <xf numFmtId="0" fontId="3" fillId="10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shrinkToFit="1"/>
    </xf>
    <xf numFmtId="0" fontId="8" fillId="9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shrinkToFit="1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3" xfId="0" applyFont="1" applyFill="1" applyBorder="1"/>
    <xf numFmtId="0" fontId="4" fillId="11" borderId="1" xfId="0" applyFont="1" applyFill="1" applyBorder="1"/>
    <xf numFmtId="0" fontId="4" fillId="11" borderId="1" xfId="0" applyFont="1" applyFill="1" applyBorder="1" applyAlignment="1">
      <alignment horizontal="center" vertical="center"/>
    </xf>
    <xf numFmtId="0" fontId="0" fillId="12" borderId="0" xfId="0" applyFill="1"/>
    <xf numFmtId="0" fontId="6" fillId="11" borderId="1" xfId="0" applyFont="1" applyFill="1" applyBorder="1" applyAlignment="1" applyProtection="1">
      <alignment horizontal="left" vertical="center" shrinkToFit="1"/>
      <protection locked="0"/>
    </xf>
    <xf numFmtId="0" fontId="6" fillId="11" borderId="1" xfId="0" applyFont="1" applyFill="1" applyBorder="1" applyAlignment="1" applyProtection="1">
      <alignment horizontal="center" vertical="center" wrapText="1"/>
      <protection locked="0"/>
    </xf>
    <xf numFmtId="0" fontId="3" fillId="13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 applyProtection="1">
      <alignment shrinkToFit="1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vertical="center" shrinkToFit="1"/>
      <protection locked="0"/>
    </xf>
    <xf numFmtId="0" fontId="3" fillId="14" borderId="1" xfId="0" applyFont="1" applyFill="1" applyBorder="1" applyAlignment="1">
      <alignment horizontal="center" vertical="center"/>
    </xf>
    <xf numFmtId="49" fontId="15" fillId="15" borderId="1" xfId="0" applyNumberFormat="1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center" shrinkToFit="1"/>
    </xf>
    <xf numFmtId="0" fontId="11" fillId="16" borderId="1" xfId="0" applyFont="1" applyFill="1" applyBorder="1" applyAlignment="1">
      <alignment shrinkToFit="1"/>
    </xf>
    <xf numFmtId="0" fontId="11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" fillId="16" borderId="3" xfId="0" applyFont="1" applyFill="1" applyBorder="1"/>
    <xf numFmtId="0" fontId="2" fillId="16" borderId="1" xfId="0" applyFont="1" applyFill="1" applyBorder="1"/>
    <xf numFmtId="0" fontId="13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7" fillId="17" borderId="0" xfId="0" applyFont="1" applyFill="1"/>
    <xf numFmtId="0" fontId="2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 applyProtection="1">
      <alignment horizontal="left" vertical="center" shrinkToFit="1"/>
      <protection locked="0"/>
    </xf>
    <xf numFmtId="0" fontId="6" fillId="16" borderId="1" xfId="0" applyFont="1" applyFill="1" applyBorder="1" applyAlignment="1" applyProtection="1">
      <alignment horizontal="center" vertical="center" wrapText="1"/>
      <protection locked="0"/>
    </xf>
    <xf numFmtId="0" fontId="11" fillId="16" borderId="1" xfId="0" applyFont="1" applyFill="1" applyBorder="1" applyAlignment="1" applyProtection="1">
      <alignment shrinkToFit="1"/>
      <protection locked="0"/>
    </xf>
    <xf numFmtId="0" fontId="11" fillId="16" borderId="1" xfId="0" applyFont="1" applyFill="1" applyBorder="1" applyAlignment="1" applyProtection="1">
      <alignment horizontal="center"/>
      <protection locked="0"/>
    </xf>
    <xf numFmtId="0" fontId="11" fillId="16" borderId="1" xfId="0" applyFont="1" applyFill="1" applyBorder="1" applyAlignment="1" applyProtection="1">
      <alignment vertical="center" shrinkToFit="1"/>
      <protection locked="0"/>
    </xf>
    <xf numFmtId="0" fontId="0" fillId="18" borderId="1" xfId="0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top"/>
    </xf>
    <xf numFmtId="0" fontId="18" fillId="16" borderId="1" xfId="0" applyFont="1" applyFill="1" applyBorder="1" applyAlignment="1">
      <alignment horizontal="left" vertical="center" shrinkToFit="1"/>
    </xf>
    <xf numFmtId="0" fontId="11" fillId="19" borderId="1" xfId="0" applyFont="1" applyFill="1" applyBorder="1" applyAlignment="1">
      <alignment shrinkToFit="1"/>
    </xf>
    <xf numFmtId="0" fontId="11" fillId="19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2" fillId="19" borderId="3" xfId="0" applyFont="1" applyFill="1" applyBorder="1"/>
    <xf numFmtId="0" fontId="2" fillId="19" borderId="1" xfId="0" applyFont="1" applyFill="1" applyBorder="1"/>
    <xf numFmtId="0" fontId="13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0" fillId="20" borderId="0" xfId="0" applyFill="1"/>
    <xf numFmtId="0" fontId="6" fillId="19" borderId="1" xfId="0" applyFont="1" applyFill="1" applyBorder="1" applyAlignment="1" applyProtection="1">
      <alignment horizontal="left" vertical="center" shrinkToFit="1"/>
      <protection locked="0"/>
    </xf>
    <xf numFmtId="0" fontId="6" fillId="19" borderId="1" xfId="0" applyFont="1" applyFill="1" applyBorder="1" applyAlignment="1" applyProtection="1">
      <alignment horizontal="center" vertical="center" wrapText="1"/>
      <protection locked="0"/>
    </xf>
    <xf numFmtId="0" fontId="11" fillId="19" borderId="1" xfId="0" applyFont="1" applyFill="1" applyBorder="1" applyAlignment="1" applyProtection="1">
      <alignment shrinkToFit="1"/>
      <protection locked="0"/>
    </xf>
    <xf numFmtId="0" fontId="11" fillId="19" borderId="1" xfId="0" applyFont="1" applyFill="1" applyBorder="1" applyAlignment="1" applyProtection="1">
      <alignment horizontal="center"/>
      <protection locked="0"/>
    </xf>
    <xf numFmtId="0" fontId="11" fillId="19" borderId="1" xfId="0" applyFont="1" applyFill="1" applyBorder="1" applyAlignment="1" applyProtection="1">
      <alignment vertical="center" shrinkToFit="1"/>
      <protection locked="0"/>
    </xf>
    <xf numFmtId="49" fontId="5" fillId="21" borderId="1" xfId="0" applyNumberFormat="1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shrinkToFit="1"/>
    </xf>
    <xf numFmtId="0" fontId="6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21" borderId="3" xfId="0" applyFont="1" applyFill="1" applyBorder="1"/>
    <xf numFmtId="0" fontId="4" fillId="21" borderId="1" xfId="0" applyFont="1" applyFill="1" applyBorder="1"/>
    <xf numFmtId="0" fontId="4" fillId="2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5" fillId="21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1" borderId="1" xfId="0" applyFont="1" applyFill="1" applyBorder="1" applyAlignment="1" applyProtection="1">
      <alignment horizontal="left" vertical="center" shrinkToFit="1"/>
      <protection locked="0"/>
    </xf>
    <xf numFmtId="0" fontId="6" fillId="21" borderId="1" xfId="0" applyFont="1" applyFill="1" applyBorder="1" applyAlignment="1" applyProtection="1">
      <alignment horizontal="center" vertical="center" wrapText="1"/>
      <protection locked="0"/>
    </xf>
    <xf numFmtId="49" fontId="5" fillId="21" borderId="1" xfId="0" applyNumberFormat="1" applyFont="1" applyFill="1" applyBorder="1" applyAlignment="1" applyProtection="1">
      <alignment horizontal="center" vertical="center"/>
      <protection locked="0"/>
    </xf>
    <xf numFmtId="0" fontId="6" fillId="21" borderId="1" xfId="0" applyFont="1" applyFill="1" applyBorder="1" applyAlignment="1" applyProtection="1">
      <alignment shrinkToFit="1"/>
      <protection locked="0"/>
    </xf>
    <xf numFmtId="0" fontId="6" fillId="21" borderId="1" xfId="0" applyFont="1" applyFill="1" applyBorder="1" applyAlignment="1" applyProtection="1">
      <alignment horizontal="center"/>
      <protection locked="0"/>
    </xf>
    <xf numFmtId="0" fontId="6" fillId="21" borderId="1" xfId="0" applyFont="1" applyFill="1" applyBorder="1" applyAlignment="1" applyProtection="1">
      <alignment vertical="center" shrinkToFit="1"/>
      <protection locked="0"/>
    </xf>
    <xf numFmtId="0" fontId="19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left" vertical="center" shrinkToFit="1"/>
    </xf>
    <xf numFmtId="49" fontId="10" fillId="22" borderId="1" xfId="0" applyNumberFormat="1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shrinkToFit="1"/>
    </xf>
    <xf numFmtId="0" fontId="11" fillId="22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22" borderId="3" xfId="0" applyFont="1" applyFill="1" applyBorder="1"/>
    <xf numFmtId="0" fontId="2" fillId="22" borderId="1" xfId="0" applyFont="1" applyFill="1" applyBorder="1"/>
    <xf numFmtId="0" fontId="13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49" fontId="5" fillId="2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2" borderId="1" xfId="0" applyFont="1" applyFill="1" applyBorder="1" applyAlignment="1" applyProtection="1">
      <alignment horizontal="left" vertical="center" shrinkToFit="1"/>
      <protection locked="0"/>
    </xf>
    <xf numFmtId="0" fontId="6" fillId="22" borderId="1" xfId="0" applyFont="1" applyFill="1" applyBorder="1" applyAlignment="1" applyProtection="1">
      <alignment horizontal="center" vertical="center" wrapText="1"/>
      <protection locked="0"/>
    </xf>
    <xf numFmtId="49" fontId="10" fillId="22" borderId="1" xfId="0" applyNumberFormat="1" applyFont="1" applyFill="1" applyBorder="1" applyAlignment="1" applyProtection="1">
      <alignment horizontal="center" vertical="center"/>
      <protection locked="0"/>
    </xf>
    <xf numFmtId="0" fontId="11" fillId="22" borderId="1" xfId="0" applyFont="1" applyFill="1" applyBorder="1" applyAlignment="1" applyProtection="1">
      <alignment shrinkToFit="1"/>
      <protection locked="0"/>
    </xf>
    <xf numFmtId="0" fontId="11" fillId="22" borderId="1" xfId="0" applyFont="1" applyFill="1" applyBorder="1" applyAlignment="1" applyProtection="1">
      <alignment horizontal="center"/>
      <protection locked="0"/>
    </xf>
    <xf numFmtId="0" fontId="11" fillId="22" borderId="1" xfId="0" applyFont="1" applyFill="1" applyBorder="1" applyAlignment="1" applyProtection="1">
      <alignment vertical="center" shrinkToFit="1"/>
      <protection locked="0"/>
    </xf>
    <xf numFmtId="0" fontId="0" fillId="17" borderId="0" xfId="0" applyFill="1"/>
    <xf numFmtId="49" fontId="13" fillId="22" borderId="3" xfId="0" applyNumberFormat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/>
    </xf>
    <xf numFmtId="0" fontId="13" fillId="22" borderId="3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20" fillId="23" borderId="1" xfId="0" applyFont="1" applyFill="1" applyBorder="1" applyAlignment="1">
      <alignment vertical="center" shrinkToFit="1"/>
    </xf>
    <xf numFmtId="0" fontId="21" fillId="24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49" fontId="4" fillId="23" borderId="3" xfId="0" applyNumberFormat="1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2" fillId="23" borderId="1" xfId="0" applyFont="1" applyFill="1" applyBorder="1"/>
    <xf numFmtId="0" fontId="22" fillId="23" borderId="1" xfId="0" applyFont="1" applyFill="1" applyBorder="1" applyAlignment="1">
      <alignment vertical="center" shrinkToFit="1"/>
    </xf>
    <xf numFmtId="0" fontId="4" fillId="23" borderId="3" xfId="0" applyFont="1" applyFill="1" applyBorder="1" applyAlignment="1">
      <alignment horizontal="center" vertical="center"/>
    </xf>
    <xf numFmtId="0" fontId="2" fillId="23" borderId="3" xfId="0" applyFont="1" applyFill="1" applyBorder="1"/>
    <xf numFmtId="0" fontId="7" fillId="23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164" fontId="2" fillId="25" borderId="1" xfId="0" applyNumberFormat="1" applyFont="1" applyFill="1" applyBorder="1" applyAlignment="1" applyProtection="1">
      <alignment horizontal="center" vertical="center"/>
      <protection hidden="1"/>
    </xf>
    <xf numFmtId="0" fontId="9" fillId="23" borderId="1" xfId="0" applyFont="1" applyFill="1" applyBorder="1" applyAlignment="1" applyProtection="1">
      <alignment horizontal="left" vertical="center" shrinkToFit="1"/>
      <protection locked="0"/>
    </xf>
    <xf numFmtId="0" fontId="23" fillId="24" borderId="1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/>
    <xf numFmtId="0" fontId="20" fillId="23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9" fontId="24" fillId="0" borderId="1" xfId="0" applyNumberFormat="1" applyFont="1" applyBorder="1" applyAlignment="1" applyProtection="1">
      <alignment horizontal="center"/>
      <protection hidden="1"/>
    </xf>
    <xf numFmtId="0" fontId="25" fillId="24" borderId="1" xfId="0" applyFont="1" applyFill="1" applyBorder="1" applyAlignment="1" applyProtection="1">
      <alignment shrinkToFit="1"/>
      <protection hidden="1"/>
    </xf>
    <xf numFmtId="0" fontId="26" fillId="24" borderId="1" xfId="0" applyFont="1" applyFill="1" applyBorder="1" applyAlignment="1" applyProtection="1">
      <alignment horizontal="center"/>
      <protection hidden="1"/>
    </xf>
    <xf numFmtId="0" fontId="22" fillId="26" borderId="1" xfId="0" applyFont="1" applyFill="1" applyBorder="1" applyAlignment="1">
      <alignment vertical="center" shrinkToFit="1"/>
    </xf>
    <xf numFmtId="0" fontId="21" fillId="27" borderId="1" xfId="0" applyFont="1" applyFill="1" applyBorder="1" applyAlignment="1">
      <alignment horizontal="center" vertical="center"/>
    </xf>
    <xf numFmtId="0" fontId="12" fillId="26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2" fillId="26" borderId="3" xfId="0" applyFont="1" applyFill="1" applyBorder="1"/>
    <xf numFmtId="0" fontId="2" fillId="26" borderId="1" xfId="0" applyFont="1" applyFill="1" applyBorder="1"/>
    <xf numFmtId="0" fontId="0" fillId="26" borderId="0" xfId="0" applyFill="1"/>
    <xf numFmtId="0" fontId="7" fillId="26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20" fillId="26" borderId="1" xfId="0" applyFont="1" applyFill="1" applyBorder="1" applyAlignment="1" applyProtection="1">
      <alignment horizontal="left" vertical="center" shrinkToFit="1"/>
      <protection locked="0"/>
    </xf>
    <xf numFmtId="0" fontId="28" fillId="27" borderId="1" xfId="0" applyFont="1" applyFill="1" applyBorder="1" applyAlignment="1" applyProtection="1">
      <alignment horizontal="center" vertical="center" wrapText="1"/>
      <protection locked="0"/>
    </xf>
    <xf numFmtId="0" fontId="22" fillId="26" borderId="1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vertical="center" shrinkToFit="1"/>
    </xf>
    <xf numFmtId="0" fontId="9" fillId="27" borderId="1" xfId="0" applyFont="1" applyFill="1" applyBorder="1" applyAlignment="1" applyProtection="1">
      <alignment horizontal="left" vertical="center" shrinkToFit="1"/>
      <protection locked="0"/>
    </xf>
    <xf numFmtId="0" fontId="9" fillId="27" borderId="1" xfId="0" applyFont="1" applyFill="1" applyBorder="1" applyAlignment="1" applyProtection="1">
      <alignment horizontal="center" vertical="center" wrapText="1"/>
      <protection locked="0"/>
    </xf>
    <xf numFmtId="49" fontId="10" fillId="18" borderId="1" xfId="0" applyNumberFormat="1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vertical="center" shrinkToFit="1"/>
    </xf>
    <xf numFmtId="0" fontId="21" fillId="2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2" fillId="18" borderId="3" xfId="0" applyFont="1" applyFill="1" applyBorder="1"/>
    <xf numFmtId="0" fontId="2" fillId="18" borderId="1" xfId="0" applyFont="1" applyFill="1" applyBorder="1"/>
    <xf numFmtId="49" fontId="5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18" borderId="1" xfId="0" applyFont="1" applyFill="1" applyBorder="1" applyAlignment="1" applyProtection="1">
      <alignment horizontal="left" vertical="center" shrinkToFit="1"/>
      <protection locked="0"/>
    </xf>
    <xf numFmtId="0" fontId="21" fillId="28" borderId="1" xfId="0" applyFont="1" applyFill="1" applyBorder="1" applyAlignment="1" applyProtection="1">
      <alignment horizontal="center" vertical="center" wrapText="1"/>
      <protection locked="0"/>
    </xf>
    <xf numFmtId="0" fontId="22" fillId="18" borderId="1" xfId="0" applyFont="1" applyFill="1" applyBorder="1" applyAlignment="1">
      <alignment horizontal="center" vertical="center"/>
    </xf>
    <xf numFmtId="49" fontId="10" fillId="29" borderId="1" xfId="0" quotePrefix="1" applyNumberFormat="1" applyFont="1" applyFill="1" applyBorder="1" applyAlignment="1">
      <alignment horizontal="center" vertical="center"/>
    </xf>
    <xf numFmtId="0" fontId="29" fillId="29" borderId="1" xfId="0" applyFont="1" applyFill="1" applyBorder="1" applyAlignment="1">
      <alignment shrinkToFit="1"/>
    </xf>
    <xf numFmtId="0" fontId="8" fillId="18" borderId="1" xfId="0" applyFont="1" applyFill="1" applyBorder="1" applyAlignment="1">
      <alignment horizontal="center" vertical="center" wrapText="1"/>
    </xf>
    <xf numFmtId="49" fontId="10" fillId="10" borderId="1" xfId="0" applyNumberFormat="1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vertical="center" shrinkToFit="1"/>
    </xf>
    <xf numFmtId="0" fontId="23" fillId="3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2" fillId="10" borderId="3" xfId="0" applyFont="1" applyFill="1" applyBorder="1"/>
    <xf numFmtId="0" fontId="2" fillId="10" borderId="1" xfId="0" applyFont="1" applyFill="1" applyBorder="1"/>
    <xf numFmtId="0" fontId="0" fillId="25" borderId="0" xfId="0" applyFill="1"/>
    <xf numFmtId="49" fontId="5" fillId="1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10" borderId="1" xfId="0" applyFont="1" applyFill="1" applyBorder="1" applyAlignment="1" applyProtection="1">
      <alignment horizontal="left" vertical="center" shrinkToFit="1"/>
      <protection locked="0"/>
    </xf>
    <xf numFmtId="0" fontId="23" fillId="30" borderId="1" xfId="0" applyFont="1" applyFill="1" applyBorder="1" applyAlignment="1" applyProtection="1">
      <alignment horizontal="center" vertical="center" wrapText="1"/>
      <protection locked="0"/>
    </xf>
    <xf numFmtId="0" fontId="22" fillId="10" borderId="1" xfId="0" applyFont="1" applyFill="1" applyBorder="1" applyAlignment="1">
      <alignment vertical="center" shrinkToFit="1"/>
    </xf>
    <xf numFmtId="0" fontId="21" fillId="30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 applyProtection="1">
      <alignment horizontal="center" vertical="center" wrapText="1"/>
      <protection locked="0"/>
    </xf>
    <xf numFmtId="49" fontId="5" fillId="11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vertical="center" shrinkToFit="1"/>
    </xf>
    <xf numFmtId="0" fontId="20" fillId="31" borderId="1" xfId="0" applyFont="1" applyFill="1" applyBorder="1" applyAlignment="1">
      <alignment horizontal="center" vertical="center"/>
    </xf>
    <xf numFmtId="0" fontId="9" fillId="31" borderId="1" xfId="0" applyFont="1" applyFill="1" applyBorder="1" applyAlignment="1" applyProtection="1">
      <alignment horizontal="center"/>
      <protection hidden="1"/>
    </xf>
    <xf numFmtId="49" fontId="5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11" borderId="1" xfId="0" applyFont="1" applyFill="1" applyBorder="1" applyAlignment="1" applyProtection="1">
      <alignment horizontal="left" vertical="center" shrinkToFit="1"/>
      <protection locked="0"/>
    </xf>
    <xf numFmtId="0" fontId="20" fillId="31" borderId="1" xfId="0" applyFont="1" applyFill="1" applyBorder="1" applyAlignment="1" applyProtection="1">
      <alignment horizontal="center" vertical="center" wrapText="1"/>
      <protection locked="0"/>
    </xf>
    <xf numFmtId="0" fontId="3" fillId="18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vertical="center" shrinkToFit="1"/>
    </xf>
    <xf numFmtId="0" fontId="21" fillId="32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/>
    </xf>
    <xf numFmtId="49" fontId="5" fillId="32" borderId="1" xfId="0" applyNumberFormat="1" applyFont="1" applyFill="1" applyBorder="1" applyAlignment="1">
      <alignment horizontal="center" vertical="center" wrapText="1"/>
    </xf>
    <xf numFmtId="0" fontId="20" fillId="32" borderId="1" xfId="0" applyFont="1" applyFill="1" applyBorder="1" applyAlignment="1">
      <alignment horizontal="left" vertical="center" shrinkToFit="1"/>
    </xf>
    <xf numFmtId="0" fontId="20" fillId="32" borderId="1" xfId="0" applyFont="1" applyFill="1" applyBorder="1" applyAlignment="1">
      <alignment horizontal="center" vertical="center" wrapText="1"/>
    </xf>
    <xf numFmtId="49" fontId="10" fillId="15" borderId="1" xfId="0" applyNumberFormat="1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vertical="center" shrinkToFit="1"/>
    </xf>
    <xf numFmtId="0" fontId="20" fillId="33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3" xfId="0" applyFont="1" applyFill="1" applyBorder="1"/>
    <xf numFmtId="0" fontId="4" fillId="15" borderId="1" xfId="0" applyFont="1" applyFill="1" applyBorder="1"/>
    <xf numFmtId="49" fontId="5" fillId="15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15" borderId="1" xfId="0" applyFont="1" applyFill="1" applyBorder="1" applyAlignment="1" applyProtection="1">
      <alignment horizontal="left" vertical="center" shrinkToFit="1"/>
      <protection locked="0"/>
    </xf>
    <xf numFmtId="0" fontId="20" fillId="33" borderId="1" xfId="0" applyFont="1" applyFill="1" applyBorder="1" applyAlignment="1" applyProtection="1">
      <alignment horizontal="center" vertical="center" wrapText="1"/>
      <protection locked="0"/>
    </xf>
    <xf numFmtId="0" fontId="0" fillId="34" borderId="1" xfId="0" applyFill="1" applyBorder="1" applyAlignment="1">
      <alignment horizontal="center" vertical="center"/>
    </xf>
    <xf numFmtId="0" fontId="9" fillId="15" borderId="1" xfId="0" applyFont="1" applyFill="1" applyBorder="1" applyAlignment="1" applyProtection="1">
      <alignment horizontal="left" vertical="center" shrinkToFit="1"/>
      <protection locked="0"/>
    </xf>
    <xf numFmtId="0" fontId="9" fillId="33" borderId="1" xfId="0" applyFont="1" applyFill="1" applyBorder="1" applyAlignment="1" applyProtection="1">
      <alignment horizontal="center" vertical="center" wrapText="1"/>
      <protection locked="0"/>
    </xf>
    <xf numFmtId="0" fontId="9" fillId="15" borderId="1" xfId="0" applyFont="1" applyFill="1" applyBorder="1" applyAlignment="1" applyProtection="1">
      <alignment shrinkToFit="1"/>
      <protection hidden="1"/>
    </xf>
    <xf numFmtId="0" fontId="0" fillId="2" borderId="1" xfId="0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/>
      <protection hidden="1"/>
    </xf>
    <xf numFmtId="0" fontId="21" fillId="27" borderId="1" xfId="0" applyFont="1" applyFill="1" applyBorder="1" applyAlignment="1" applyProtection="1">
      <alignment horizontal="center" vertical="center" wrapText="1"/>
      <protection locked="0"/>
    </xf>
    <xf numFmtId="0" fontId="31" fillId="27" borderId="1" xfId="0" applyFont="1" applyFill="1" applyBorder="1" applyAlignment="1">
      <alignment horizontal="left" vertical="center" shrinkToFit="1"/>
    </xf>
    <xf numFmtId="0" fontId="31" fillId="27" borderId="1" xfId="0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center" vertical="center"/>
    </xf>
    <xf numFmtId="49" fontId="10" fillId="36" borderId="1" xfId="0" applyNumberFormat="1" applyFont="1" applyFill="1" applyBorder="1" applyAlignment="1">
      <alignment horizontal="center" vertical="center"/>
    </xf>
    <xf numFmtId="0" fontId="22" fillId="36" borderId="1" xfId="0" applyFont="1" applyFill="1" applyBorder="1" applyAlignment="1">
      <alignment vertical="center" shrinkToFit="1"/>
    </xf>
    <xf numFmtId="0" fontId="21" fillId="37" borderId="1" xfId="0" applyFont="1" applyFill="1" applyBorder="1" applyAlignment="1">
      <alignment horizontal="center" vertical="center"/>
    </xf>
    <xf numFmtId="0" fontId="32" fillId="36" borderId="1" xfId="0" applyFont="1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2" fillId="36" borderId="3" xfId="0" applyFont="1" applyFill="1" applyBorder="1"/>
    <xf numFmtId="0" fontId="2" fillId="36" borderId="1" xfId="0" applyFont="1" applyFill="1" applyBorder="1"/>
    <xf numFmtId="0" fontId="3" fillId="36" borderId="1" xfId="0" applyFont="1" applyFill="1" applyBorder="1" applyAlignment="1">
      <alignment horizontal="center" vertical="center"/>
    </xf>
    <xf numFmtId="49" fontId="5" fillId="36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36" borderId="1" xfId="0" applyFont="1" applyFill="1" applyBorder="1" applyAlignment="1" applyProtection="1">
      <alignment horizontal="left" vertical="center" shrinkToFit="1"/>
      <protection locked="0"/>
    </xf>
    <xf numFmtId="0" fontId="21" fillId="37" borderId="1" xfId="0" applyFont="1" applyFill="1" applyBorder="1" applyAlignment="1" applyProtection="1">
      <alignment horizontal="center" vertical="center" wrapText="1"/>
      <protection locked="0"/>
    </xf>
    <xf numFmtId="0" fontId="33" fillId="37" borderId="1" xfId="0" applyFont="1" applyFill="1" applyBorder="1" applyAlignment="1" applyProtection="1">
      <alignment horizontal="center" vertical="center" wrapText="1"/>
      <protection locked="0"/>
    </xf>
    <xf numFmtId="0" fontId="0" fillId="36" borderId="4" xfId="0" applyFill="1" applyBorder="1"/>
    <xf numFmtId="0" fontId="0" fillId="7" borderId="0" xfId="0" applyFill="1"/>
    <xf numFmtId="0" fontId="22" fillId="36" borderId="1" xfId="0" applyFont="1" applyFill="1" applyBorder="1" applyAlignment="1">
      <alignment horizontal="center" vertical="center"/>
    </xf>
    <xf numFmtId="49" fontId="5" fillId="36" borderId="1" xfId="0" applyNumberFormat="1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horizontal="left" vertical="center" shrinkToFit="1"/>
    </xf>
    <xf numFmtId="0" fontId="8" fillId="37" borderId="1" xfId="0" applyFont="1" applyFill="1" applyBorder="1" applyAlignment="1">
      <alignment horizontal="center" vertical="center" wrapText="1"/>
    </xf>
    <xf numFmtId="0" fontId="34" fillId="36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49" fontId="6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vertical="center" shrinkToFi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3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shrinkToFit="1"/>
    </xf>
    <xf numFmtId="0" fontId="9" fillId="0" borderId="1" xfId="0" applyFont="1" applyBorder="1" applyAlignment="1" applyProtection="1">
      <alignment vertical="center" shrinkToFit="1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164" fontId="4" fillId="35" borderId="1" xfId="0" applyNumberFormat="1" applyFont="1" applyFill="1" applyBorder="1" applyAlignment="1" applyProtection="1">
      <alignment horizontal="center" vertical="center"/>
      <protection hidden="1"/>
    </xf>
    <xf numFmtId="49" fontId="6" fillId="35" borderId="1" xfId="0" applyNumberFormat="1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vertical="center"/>
    </xf>
    <xf numFmtId="0" fontId="7" fillId="35" borderId="1" xfId="0" applyFont="1" applyFill="1" applyBorder="1" applyAlignment="1">
      <alignment horizontal="center" vertical="center"/>
    </xf>
    <xf numFmtId="0" fontId="3" fillId="35" borderId="1" xfId="0" quotePrefix="1" applyFont="1" applyFill="1" applyBorder="1" applyAlignment="1">
      <alignment horizontal="center" vertical="center"/>
    </xf>
    <xf numFmtId="49" fontId="6" fillId="35" borderId="1" xfId="0" quotePrefix="1" applyNumberFormat="1" applyFont="1" applyFill="1" applyBorder="1" applyAlignment="1">
      <alignment horizontal="center" vertical="center"/>
    </xf>
    <xf numFmtId="0" fontId="3" fillId="35" borderId="1" xfId="1" applyFont="1" applyFill="1" applyBorder="1" applyAlignment="1" applyProtection="1">
      <alignment vertical="center"/>
      <protection hidden="1"/>
    </xf>
    <xf numFmtId="0" fontId="9" fillId="35" borderId="1" xfId="0" applyFont="1" applyFill="1" applyBorder="1" applyAlignment="1">
      <alignment horizontal="center" vertical="center"/>
    </xf>
    <xf numFmtId="0" fontId="3" fillId="35" borderId="1" xfId="0" applyFont="1" applyFill="1" applyBorder="1"/>
    <xf numFmtId="0" fontId="9" fillId="35" borderId="1" xfId="0" applyFont="1" applyFill="1" applyBorder="1"/>
    <xf numFmtId="0" fontId="3" fillId="35" borderId="1" xfId="0" applyFont="1" applyFill="1" applyBorder="1" applyAlignment="1">
      <alignment horizontal="center"/>
    </xf>
    <xf numFmtId="49" fontId="7" fillId="35" borderId="1" xfId="0" applyNumberFormat="1" applyFont="1" applyFill="1" applyBorder="1" applyAlignment="1">
      <alignment horizontal="center" vertical="center"/>
    </xf>
    <xf numFmtId="0" fontId="36" fillId="35" borderId="1" xfId="0" applyFont="1" applyFill="1" applyBorder="1" applyAlignment="1">
      <alignment horizontal="left" vertical="center" indent="1"/>
    </xf>
    <xf numFmtId="0" fontId="36" fillId="35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0" fillId="22" borderId="0" xfId="0" applyFill="1"/>
    <xf numFmtId="0" fontId="39" fillId="0" borderId="1" xfId="0" applyFont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49" fontId="40" fillId="2" borderId="1" xfId="0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shrinkToFit="1"/>
    </xf>
    <xf numFmtId="0" fontId="39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</cellXfs>
  <cellStyles count="2">
    <cellStyle name="Normal" xfId="0" builtinId="0"/>
    <cellStyle name="Normal 2 3" xfId="1" xr:uid="{32893839-5377-4BCB-9011-050B5BA5C10F}"/>
  </cellStyles>
  <dxfs count="2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  <name val="Calibri"/>
        <family val="2"/>
        <scheme val="none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PAT%2025-26%20WakaKur.xls" TargetMode="External"/><Relationship Id="rId1" Type="http://schemas.openxmlformats.org/officeDocument/2006/relationships/externalLinkPath" Target="PAT%2025-26%20WakaKur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N%2021/KLS%20XII%2020-21/ABSEN%20XII%20GENAP%2020-21.xlsx" TargetMode="External"/><Relationship Id="rId1" Type="http://schemas.openxmlformats.org/officeDocument/2006/relationships/externalLinkPath" Target="/SN%2021/KLS%20XII%2020-21/ABSEN%20XII%20GENAP%2020-2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TA%20KURIKULUM/22-23%20GANJIL/Peserta" TargetMode="External"/><Relationship Id="rId1" Type="http://schemas.openxmlformats.org/officeDocument/2006/relationships/externalLinkPath" Target="/DATA%20KURIKULUM/22-23%20GANJIL/Peserta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BSEN%202020-2021/ABSEN%20XI%20GANJIL%2020-21.xlsx" TargetMode="External"/><Relationship Id="rId1" Type="http://schemas.openxmlformats.org/officeDocument/2006/relationships/externalLinkPath" Target="/ABSEN%202020-2021/ABSEN%20XI%20GANJIL%2020-2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TA%20KURIKULUM/22-23%20GANJIL/Roster%20Ganjil%202022-2023%20K13%20UP%20DATE%2019%20AGUSTUS.xlsx" TargetMode="External"/><Relationship Id="rId1" Type="http://schemas.openxmlformats.org/officeDocument/2006/relationships/externalLinkPath" Target="/DATA%20KURIKULUM/22-23%20GANJIL/Roster%20Ganjil%202022-2023%20K13%20UP%20DATE%2019%20AGUSTU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Sc%20Time%20Table/buat%20jadwal%20dgn%20excel/Jdwl%20Excl/DEMO%20JADWAL%20PELAJARAN%2036%20KELAS%2010%20JP%20Coba.xlsx" TargetMode="External"/><Relationship Id="rId1" Type="http://schemas.openxmlformats.org/officeDocument/2006/relationships/externalLinkPath" Target="/aSc%20Time%20Table/buat%20jadwal%20dgn%20excel/Jdwl%20Excl/DEMO%20JADWAL%20PELAJARAN%2036%20KELAS%2010%20JP%20Co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LI KELAS 20-21"/>
      <sheetName val="Abs Pgws"/>
      <sheetName val="W-KELAS 23-24"/>
      <sheetName val="DENAH PAT"/>
      <sheetName val="RekapPAS"/>
      <sheetName val="BOBOT"/>
      <sheetName val="NILAI MASUK"/>
      <sheetName val="Penyusun Soal"/>
      <sheetName val="Nma-AwasR"/>
      <sheetName val="AturAwas"/>
      <sheetName val="Jdwl PAT"/>
      <sheetName val="PENGAWAS PAT "/>
      <sheetName val="Input"/>
      <sheetName val="Abs aWAS"/>
      <sheetName val="Abs TEKNISI"/>
      <sheetName val="Abs JDLA"/>
      <sheetName val="RekapPAT"/>
      <sheetName val="Abs Siswa"/>
      <sheetName val="DENAH R PAT"/>
      <sheetName val="LINK SOAL"/>
      <sheetName val="PESERTA"/>
      <sheetName val="PESERTA all"/>
      <sheetName val="PESERTA 24-25"/>
      <sheetName val="InputSoal"/>
      <sheetName val="PESERTA KELAS"/>
      <sheetName val="Smpul"/>
      <sheetName val="KARTU"/>
      <sheetName val="Sheet1"/>
      <sheetName val="DenahT4D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SEN"/>
      <sheetName val="XII-IPA-6"/>
      <sheetName val="XII-IPA-5"/>
      <sheetName val="XII-IPA-4"/>
      <sheetName val="XII-IPA-3"/>
      <sheetName val="XII-IPA-2"/>
      <sheetName val="XII-IPA-5 K"/>
      <sheetName val="XII-IPA-4 K"/>
      <sheetName val="XII-IPA-3 K"/>
      <sheetName val="XII-IPA-2 K"/>
      <sheetName val="XII-IPA-1 K"/>
      <sheetName val="XII-IPA-1"/>
      <sheetName val="XII-IPS-1 K"/>
      <sheetName val="XII-IPS-1"/>
      <sheetName val="XII-IPS-2 K"/>
      <sheetName val="XII-IPS-3 K"/>
      <sheetName val="BOBOT"/>
      <sheetName val="XII-IPS-2"/>
      <sheetName val="XII-IPS-3"/>
      <sheetName val="P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sert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112021"/>
      <sheetName val="ABSEN"/>
      <sheetName val="Sheet1"/>
      <sheetName val="XI-IPA-6"/>
      <sheetName val="XI-IPA-5"/>
      <sheetName val="XI-IPA-4"/>
      <sheetName val="XI-IPA-3"/>
      <sheetName val="XI-IPA-2"/>
      <sheetName val="XI-IPA-1"/>
      <sheetName val="REKAP"/>
      <sheetName val="XI-IPS-1"/>
      <sheetName val="XI-IPS-2"/>
      <sheetName val="XI-IPS-3"/>
      <sheetName val="Sheet2"/>
      <sheetName val="WAL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 P.TGS"/>
      <sheetName val="Struktur"/>
      <sheetName val="ikm"/>
      <sheetName val="Prog Kls X"/>
      <sheetName val="DENAH KLS"/>
      <sheetName val="4-Wali-Kls"/>
      <sheetName val="Tgs-Jam"/>
      <sheetName val="Atur Jam"/>
      <sheetName val="Tgs-Jam Awal"/>
      <sheetName val="Kode-Gr X-2Jam"/>
      <sheetName val="8-ROSTER"/>
      <sheetName val="Kode-Gr X-3Jam"/>
      <sheetName val="3-WakaSek"/>
      <sheetName val="2-BK"/>
      <sheetName val="7-Honorer"/>
      <sheetName val="6-TU"/>
      <sheetName val="SATPAM"/>
      <sheetName val="5-JAM-PIKET"/>
      <sheetName val="Jam-Kls"/>
      <sheetName val="Jam-Gr"/>
      <sheetName val="EDIT-ROSTER"/>
      <sheetName val="Sheet8"/>
      <sheetName val="BAGI JAM"/>
      <sheetName val="Kontrol-SENIN"/>
      <sheetName val="Kontrol-SELASA"/>
      <sheetName val="Kontrol-RABU"/>
      <sheetName val="Kontrol-JUMAT"/>
      <sheetName val="Kontrol-KAMIS"/>
      <sheetName val="REKAP PBM-19 Agus"/>
      <sheetName val="REKAP PBM-18 Agu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8"/>
      <sheetName val="JADWAL KELAS"/>
      <sheetName val="bbn bljr"/>
      <sheetName val="Pembagian Jam"/>
      <sheetName val="Kode"/>
      <sheetName val="Edit Jadwal"/>
      <sheetName val="Sheet3"/>
      <sheetName val="PEMBAGIAN JAM CETAK"/>
      <sheetName val="Jadwal Guru"/>
      <sheetName val="Jadwal Fu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8D79-4880-4CA4-A705-CF1620247044}">
  <sheetPr>
    <tabColor theme="7" tint="-0.499984740745262"/>
  </sheetPr>
  <dimension ref="A1:P661"/>
  <sheetViews>
    <sheetView tabSelected="1" workbookViewId="0">
      <pane xSplit="6" ySplit="1" topLeftCell="G618" activePane="bottomRight" state="frozen"/>
      <selection pane="topRight"/>
      <selection pane="bottomLeft"/>
      <selection pane="bottomRight" activeCell="F630" sqref="F630"/>
    </sheetView>
  </sheetViews>
  <sheetFormatPr defaultColWidth="8.90625" defaultRowHeight="14.5" x14ac:dyDescent="0.35"/>
  <cols>
    <col min="1" max="1" width="6.1796875" style="290" customWidth="1"/>
    <col min="2" max="2" width="4.81640625" style="290" customWidth="1"/>
    <col min="3" max="3" width="12.81640625" style="290" bestFit="1" customWidth="1"/>
    <col min="4" max="4" width="24.6328125" customWidth="1"/>
    <col min="5" max="5" width="4.36328125" style="290" customWidth="1"/>
    <col min="6" max="6" width="10.08984375" style="290" customWidth="1"/>
    <col min="7" max="7" width="7.08984375" style="290" customWidth="1"/>
    <col min="8" max="8" width="10" style="290" customWidth="1"/>
    <col min="9" max="9" width="6.6328125" style="290" customWidth="1"/>
    <col min="10" max="10" width="14.90625" style="290" customWidth="1"/>
    <col min="11" max="11" width="21.36328125" style="290" hidden="1" customWidth="1"/>
    <col min="12" max="12" width="7.81640625" style="290" customWidth="1"/>
    <col min="13" max="13" width="10" hidden="1" customWidth="1"/>
    <col min="14" max="14" width="6.36328125" hidden="1" customWidth="1"/>
    <col min="15" max="15" width="7.1796875" hidden="1" customWidth="1"/>
    <col min="16" max="16" width="3.54296875" customWidth="1"/>
    <col min="17" max="17" width="14" customWidth="1"/>
    <col min="257" max="257" width="6.1796875" customWidth="1"/>
    <col min="258" max="258" width="4.81640625" customWidth="1"/>
    <col min="259" max="259" width="12.81640625" bestFit="1" customWidth="1"/>
    <col min="260" max="260" width="24.6328125" customWidth="1"/>
    <col min="261" max="261" width="4.36328125" customWidth="1"/>
    <col min="262" max="262" width="10.08984375" customWidth="1"/>
    <col min="263" max="263" width="7.08984375" customWidth="1"/>
    <col min="264" max="264" width="10" customWidth="1"/>
    <col min="265" max="265" width="6.6328125" customWidth="1"/>
    <col min="266" max="266" width="14.90625" customWidth="1"/>
    <col min="267" max="267" width="0" hidden="1" customWidth="1"/>
    <col min="268" max="268" width="7.81640625" customWidth="1"/>
    <col min="269" max="271" width="0" hidden="1" customWidth="1"/>
    <col min="272" max="272" width="3.54296875" customWidth="1"/>
    <col min="273" max="273" width="14" customWidth="1"/>
    <col min="513" max="513" width="6.1796875" customWidth="1"/>
    <col min="514" max="514" width="4.81640625" customWidth="1"/>
    <col min="515" max="515" width="12.81640625" bestFit="1" customWidth="1"/>
    <col min="516" max="516" width="24.6328125" customWidth="1"/>
    <col min="517" max="517" width="4.36328125" customWidth="1"/>
    <col min="518" max="518" width="10.08984375" customWidth="1"/>
    <col min="519" max="519" width="7.08984375" customWidth="1"/>
    <col min="520" max="520" width="10" customWidth="1"/>
    <col min="521" max="521" width="6.6328125" customWidth="1"/>
    <col min="522" max="522" width="14.90625" customWidth="1"/>
    <col min="523" max="523" width="0" hidden="1" customWidth="1"/>
    <col min="524" max="524" width="7.81640625" customWidth="1"/>
    <col min="525" max="527" width="0" hidden="1" customWidth="1"/>
    <col min="528" max="528" width="3.54296875" customWidth="1"/>
    <col min="529" max="529" width="14" customWidth="1"/>
    <col min="769" max="769" width="6.1796875" customWidth="1"/>
    <col min="770" max="770" width="4.81640625" customWidth="1"/>
    <col min="771" max="771" width="12.81640625" bestFit="1" customWidth="1"/>
    <col min="772" max="772" width="24.6328125" customWidth="1"/>
    <col min="773" max="773" width="4.36328125" customWidth="1"/>
    <col min="774" max="774" width="10.08984375" customWidth="1"/>
    <col min="775" max="775" width="7.08984375" customWidth="1"/>
    <col min="776" max="776" width="10" customWidth="1"/>
    <col min="777" max="777" width="6.6328125" customWidth="1"/>
    <col min="778" max="778" width="14.90625" customWidth="1"/>
    <col min="779" max="779" width="0" hidden="1" customWidth="1"/>
    <col min="780" max="780" width="7.81640625" customWidth="1"/>
    <col min="781" max="783" width="0" hidden="1" customWidth="1"/>
    <col min="784" max="784" width="3.54296875" customWidth="1"/>
    <col min="785" max="785" width="14" customWidth="1"/>
    <col min="1025" max="1025" width="6.1796875" customWidth="1"/>
    <col min="1026" max="1026" width="4.81640625" customWidth="1"/>
    <col min="1027" max="1027" width="12.81640625" bestFit="1" customWidth="1"/>
    <col min="1028" max="1028" width="24.6328125" customWidth="1"/>
    <col min="1029" max="1029" width="4.36328125" customWidth="1"/>
    <col min="1030" max="1030" width="10.08984375" customWidth="1"/>
    <col min="1031" max="1031" width="7.08984375" customWidth="1"/>
    <col min="1032" max="1032" width="10" customWidth="1"/>
    <col min="1033" max="1033" width="6.6328125" customWidth="1"/>
    <col min="1034" max="1034" width="14.90625" customWidth="1"/>
    <col min="1035" max="1035" width="0" hidden="1" customWidth="1"/>
    <col min="1036" max="1036" width="7.81640625" customWidth="1"/>
    <col min="1037" max="1039" width="0" hidden="1" customWidth="1"/>
    <col min="1040" max="1040" width="3.54296875" customWidth="1"/>
    <col min="1041" max="1041" width="14" customWidth="1"/>
    <col min="1281" max="1281" width="6.1796875" customWidth="1"/>
    <col min="1282" max="1282" width="4.81640625" customWidth="1"/>
    <col min="1283" max="1283" width="12.81640625" bestFit="1" customWidth="1"/>
    <col min="1284" max="1284" width="24.6328125" customWidth="1"/>
    <col min="1285" max="1285" width="4.36328125" customWidth="1"/>
    <col min="1286" max="1286" width="10.08984375" customWidth="1"/>
    <col min="1287" max="1287" width="7.08984375" customWidth="1"/>
    <col min="1288" max="1288" width="10" customWidth="1"/>
    <col min="1289" max="1289" width="6.6328125" customWidth="1"/>
    <col min="1290" max="1290" width="14.90625" customWidth="1"/>
    <col min="1291" max="1291" width="0" hidden="1" customWidth="1"/>
    <col min="1292" max="1292" width="7.81640625" customWidth="1"/>
    <col min="1293" max="1295" width="0" hidden="1" customWidth="1"/>
    <col min="1296" max="1296" width="3.54296875" customWidth="1"/>
    <col min="1297" max="1297" width="14" customWidth="1"/>
    <col min="1537" max="1537" width="6.1796875" customWidth="1"/>
    <col min="1538" max="1538" width="4.81640625" customWidth="1"/>
    <col min="1539" max="1539" width="12.81640625" bestFit="1" customWidth="1"/>
    <col min="1540" max="1540" width="24.6328125" customWidth="1"/>
    <col min="1541" max="1541" width="4.36328125" customWidth="1"/>
    <col min="1542" max="1542" width="10.08984375" customWidth="1"/>
    <col min="1543" max="1543" width="7.08984375" customWidth="1"/>
    <col min="1544" max="1544" width="10" customWidth="1"/>
    <col min="1545" max="1545" width="6.6328125" customWidth="1"/>
    <col min="1546" max="1546" width="14.90625" customWidth="1"/>
    <col min="1547" max="1547" width="0" hidden="1" customWidth="1"/>
    <col min="1548" max="1548" width="7.81640625" customWidth="1"/>
    <col min="1549" max="1551" width="0" hidden="1" customWidth="1"/>
    <col min="1552" max="1552" width="3.54296875" customWidth="1"/>
    <col min="1553" max="1553" width="14" customWidth="1"/>
    <col min="1793" max="1793" width="6.1796875" customWidth="1"/>
    <col min="1794" max="1794" width="4.81640625" customWidth="1"/>
    <col min="1795" max="1795" width="12.81640625" bestFit="1" customWidth="1"/>
    <col min="1796" max="1796" width="24.6328125" customWidth="1"/>
    <col min="1797" max="1797" width="4.36328125" customWidth="1"/>
    <col min="1798" max="1798" width="10.08984375" customWidth="1"/>
    <col min="1799" max="1799" width="7.08984375" customWidth="1"/>
    <col min="1800" max="1800" width="10" customWidth="1"/>
    <col min="1801" max="1801" width="6.6328125" customWidth="1"/>
    <col min="1802" max="1802" width="14.90625" customWidth="1"/>
    <col min="1803" max="1803" width="0" hidden="1" customWidth="1"/>
    <col min="1804" max="1804" width="7.81640625" customWidth="1"/>
    <col min="1805" max="1807" width="0" hidden="1" customWidth="1"/>
    <col min="1808" max="1808" width="3.54296875" customWidth="1"/>
    <col min="1809" max="1809" width="14" customWidth="1"/>
    <col min="2049" max="2049" width="6.1796875" customWidth="1"/>
    <col min="2050" max="2050" width="4.81640625" customWidth="1"/>
    <col min="2051" max="2051" width="12.81640625" bestFit="1" customWidth="1"/>
    <col min="2052" max="2052" width="24.6328125" customWidth="1"/>
    <col min="2053" max="2053" width="4.36328125" customWidth="1"/>
    <col min="2054" max="2054" width="10.08984375" customWidth="1"/>
    <col min="2055" max="2055" width="7.08984375" customWidth="1"/>
    <col min="2056" max="2056" width="10" customWidth="1"/>
    <col min="2057" max="2057" width="6.6328125" customWidth="1"/>
    <col min="2058" max="2058" width="14.90625" customWidth="1"/>
    <col min="2059" max="2059" width="0" hidden="1" customWidth="1"/>
    <col min="2060" max="2060" width="7.81640625" customWidth="1"/>
    <col min="2061" max="2063" width="0" hidden="1" customWidth="1"/>
    <col min="2064" max="2064" width="3.54296875" customWidth="1"/>
    <col min="2065" max="2065" width="14" customWidth="1"/>
    <col min="2305" max="2305" width="6.1796875" customWidth="1"/>
    <col min="2306" max="2306" width="4.81640625" customWidth="1"/>
    <col min="2307" max="2307" width="12.81640625" bestFit="1" customWidth="1"/>
    <col min="2308" max="2308" width="24.6328125" customWidth="1"/>
    <col min="2309" max="2309" width="4.36328125" customWidth="1"/>
    <col min="2310" max="2310" width="10.08984375" customWidth="1"/>
    <col min="2311" max="2311" width="7.08984375" customWidth="1"/>
    <col min="2312" max="2312" width="10" customWidth="1"/>
    <col min="2313" max="2313" width="6.6328125" customWidth="1"/>
    <col min="2314" max="2314" width="14.90625" customWidth="1"/>
    <col min="2315" max="2315" width="0" hidden="1" customWidth="1"/>
    <col min="2316" max="2316" width="7.81640625" customWidth="1"/>
    <col min="2317" max="2319" width="0" hidden="1" customWidth="1"/>
    <col min="2320" max="2320" width="3.54296875" customWidth="1"/>
    <col min="2321" max="2321" width="14" customWidth="1"/>
    <col min="2561" max="2561" width="6.1796875" customWidth="1"/>
    <col min="2562" max="2562" width="4.81640625" customWidth="1"/>
    <col min="2563" max="2563" width="12.81640625" bestFit="1" customWidth="1"/>
    <col min="2564" max="2564" width="24.6328125" customWidth="1"/>
    <col min="2565" max="2565" width="4.36328125" customWidth="1"/>
    <col min="2566" max="2566" width="10.08984375" customWidth="1"/>
    <col min="2567" max="2567" width="7.08984375" customWidth="1"/>
    <col min="2568" max="2568" width="10" customWidth="1"/>
    <col min="2569" max="2569" width="6.6328125" customWidth="1"/>
    <col min="2570" max="2570" width="14.90625" customWidth="1"/>
    <col min="2571" max="2571" width="0" hidden="1" customWidth="1"/>
    <col min="2572" max="2572" width="7.81640625" customWidth="1"/>
    <col min="2573" max="2575" width="0" hidden="1" customWidth="1"/>
    <col min="2576" max="2576" width="3.54296875" customWidth="1"/>
    <col min="2577" max="2577" width="14" customWidth="1"/>
    <col min="2817" max="2817" width="6.1796875" customWidth="1"/>
    <col min="2818" max="2818" width="4.81640625" customWidth="1"/>
    <col min="2819" max="2819" width="12.81640625" bestFit="1" customWidth="1"/>
    <col min="2820" max="2820" width="24.6328125" customWidth="1"/>
    <col min="2821" max="2821" width="4.36328125" customWidth="1"/>
    <col min="2822" max="2822" width="10.08984375" customWidth="1"/>
    <col min="2823" max="2823" width="7.08984375" customWidth="1"/>
    <col min="2824" max="2824" width="10" customWidth="1"/>
    <col min="2825" max="2825" width="6.6328125" customWidth="1"/>
    <col min="2826" max="2826" width="14.90625" customWidth="1"/>
    <col min="2827" max="2827" width="0" hidden="1" customWidth="1"/>
    <col min="2828" max="2828" width="7.81640625" customWidth="1"/>
    <col min="2829" max="2831" width="0" hidden="1" customWidth="1"/>
    <col min="2832" max="2832" width="3.54296875" customWidth="1"/>
    <col min="2833" max="2833" width="14" customWidth="1"/>
    <col min="3073" max="3073" width="6.1796875" customWidth="1"/>
    <col min="3074" max="3074" width="4.81640625" customWidth="1"/>
    <col min="3075" max="3075" width="12.81640625" bestFit="1" customWidth="1"/>
    <col min="3076" max="3076" width="24.6328125" customWidth="1"/>
    <col min="3077" max="3077" width="4.36328125" customWidth="1"/>
    <col min="3078" max="3078" width="10.08984375" customWidth="1"/>
    <col min="3079" max="3079" width="7.08984375" customWidth="1"/>
    <col min="3080" max="3080" width="10" customWidth="1"/>
    <col min="3081" max="3081" width="6.6328125" customWidth="1"/>
    <col min="3082" max="3082" width="14.90625" customWidth="1"/>
    <col min="3083" max="3083" width="0" hidden="1" customWidth="1"/>
    <col min="3084" max="3084" width="7.81640625" customWidth="1"/>
    <col min="3085" max="3087" width="0" hidden="1" customWidth="1"/>
    <col min="3088" max="3088" width="3.54296875" customWidth="1"/>
    <col min="3089" max="3089" width="14" customWidth="1"/>
    <col min="3329" max="3329" width="6.1796875" customWidth="1"/>
    <col min="3330" max="3330" width="4.81640625" customWidth="1"/>
    <col min="3331" max="3331" width="12.81640625" bestFit="1" customWidth="1"/>
    <col min="3332" max="3332" width="24.6328125" customWidth="1"/>
    <col min="3333" max="3333" width="4.36328125" customWidth="1"/>
    <col min="3334" max="3334" width="10.08984375" customWidth="1"/>
    <col min="3335" max="3335" width="7.08984375" customWidth="1"/>
    <col min="3336" max="3336" width="10" customWidth="1"/>
    <col min="3337" max="3337" width="6.6328125" customWidth="1"/>
    <col min="3338" max="3338" width="14.90625" customWidth="1"/>
    <col min="3339" max="3339" width="0" hidden="1" customWidth="1"/>
    <col min="3340" max="3340" width="7.81640625" customWidth="1"/>
    <col min="3341" max="3343" width="0" hidden="1" customWidth="1"/>
    <col min="3344" max="3344" width="3.54296875" customWidth="1"/>
    <col min="3345" max="3345" width="14" customWidth="1"/>
    <col min="3585" max="3585" width="6.1796875" customWidth="1"/>
    <col min="3586" max="3586" width="4.81640625" customWidth="1"/>
    <col min="3587" max="3587" width="12.81640625" bestFit="1" customWidth="1"/>
    <col min="3588" max="3588" width="24.6328125" customWidth="1"/>
    <col min="3589" max="3589" width="4.36328125" customWidth="1"/>
    <col min="3590" max="3590" width="10.08984375" customWidth="1"/>
    <col min="3591" max="3591" width="7.08984375" customWidth="1"/>
    <col min="3592" max="3592" width="10" customWidth="1"/>
    <col min="3593" max="3593" width="6.6328125" customWidth="1"/>
    <col min="3594" max="3594" width="14.90625" customWidth="1"/>
    <col min="3595" max="3595" width="0" hidden="1" customWidth="1"/>
    <col min="3596" max="3596" width="7.81640625" customWidth="1"/>
    <col min="3597" max="3599" width="0" hidden="1" customWidth="1"/>
    <col min="3600" max="3600" width="3.54296875" customWidth="1"/>
    <col min="3601" max="3601" width="14" customWidth="1"/>
    <col min="3841" max="3841" width="6.1796875" customWidth="1"/>
    <col min="3842" max="3842" width="4.81640625" customWidth="1"/>
    <col min="3843" max="3843" width="12.81640625" bestFit="1" customWidth="1"/>
    <col min="3844" max="3844" width="24.6328125" customWidth="1"/>
    <col min="3845" max="3845" width="4.36328125" customWidth="1"/>
    <col min="3846" max="3846" width="10.08984375" customWidth="1"/>
    <col min="3847" max="3847" width="7.08984375" customWidth="1"/>
    <col min="3848" max="3848" width="10" customWidth="1"/>
    <col min="3849" max="3849" width="6.6328125" customWidth="1"/>
    <col min="3850" max="3850" width="14.90625" customWidth="1"/>
    <col min="3851" max="3851" width="0" hidden="1" customWidth="1"/>
    <col min="3852" max="3852" width="7.81640625" customWidth="1"/>
    <col min="3853" max="3855" width="0" hidden="1" customWidth="1"/>
    <col min="3856" max="3856" width="3.54296875" customWidth="1"/>
    <col min="3857" max="3857" width="14" customWidth="1"/>
    <col min="4097" max="4097" width="6.1796875" customWidth="1"/>
    <col min="4098" max="4098" width="4.81640625" customWidth="1"/>
    <col min="4099" max="4099" width="12.81640625" bestFit="1" customWidth="1"/>
    <col min="4100" max="4100" width="24.6328125" customWidth="1"/>
    <col min="4101" max="4101" width="4.36328125" customWidth="1"/>
    <col min="4102" max="4102" width="10.08984375" customWidth="1"/>
    <col min="4103" max="4103" width="7.08984375" customWidth="1"/>
    <col min="4104" max="4104" width="10" customWidth="1"/>
    <col min="4105" max="4105" width="6.6328125" customWidth="1"/>
    <col min="4106" max="4106" width="14.90625" customWidth="1"/>
    <col min="4107" max="4107" width="0" hidden="1" customWidth="1"/>
    <col min="4108" max="4108" width="7.81640625" customWidth="1"/>
    <col min="4109" max="4111" width="0" hidden="1" customWidth="1"/>
    <col min="4112" max="4112" width="3.54296875" customWidth="1"/>
    <col min="4113" max="4113" width="14" customWidth="1"/>
    <col min="4353" max="4353" width="6.1796875" customWidth="1"/>
    <col min="4354" max="4354" width="4.81640625" customWidth="1"/>
    <col min="4355" max="4355" width="12.81640625" bestFit="1" customWidth="1"/>
    <col min="4356" max="4356" width="24.6328125" customWidth="1"/>
    <col min="4357" max="4357" width="4.36328125" customWidth="1"/>
    <col min="4358" max="4358" width="10.08984375" customWidth="1"/>
    <col min="4359" max="4359" width="7.08984375" customWidth="1"/>
    <col min="4360" max="4360" width="10" customWidth="1"/>
    <col min="4361" max="4361" width="6.6328125" customWidth="1"/>
    <col min="4362" max="4362" width="14.90625" customWidth="1"/>
    <col min="4363" max="4363" width="0" hidden="1" customWidth="1"/>
    <col min="4364" max="4364" width="7.81640625" customWidth="1"/>
    <col min="4365" max="4367" width="0" hidden="1" customWidth="1"/>
    <col min="4368" max="4368" width="3.54296875" customWidth="1"/>
    <col min="4369" max="4369" width="14" customWidth="1"/>
    <col min="4609" max="4609" width="6.1796875" customWidth="1"/>
    <col min="4610" max="4610" width="4.81640625" customWidth="1"/>
    <col min="4611" max="4611" width="12.81640625" bestFit="1" customWidth="1"/>
    <col min="4612" max="4612" width="24.6328125" customWidth="1"/>
    <col min="4613" max="4613" width="4.36328125" customWidth="1"/>
    <col min="4614" max="4614" width="10.08984375" customWidth="1"/>
    <col min="4615" max="4615" width="7.08984375" customWidth="1"/>
    <col min="4616" max="4616" width="10" customWidth="1"/>
    <col min="4617" max="4617" width="6.6328125" customWidth="1"/>
    <col min="4618" max="4618" width="14.90625" customWidth="1"/>
    <col min="4619" max="4619" width="0" hidden="1" customWidth="1"/>
    <col min="4620" max="4620" width="7.81640625" customWidth="1"/>
    <col min="4621" max="4623" width="0" hidden="1" customWidth="1"/>
    <col min="4624" max="4624" width="3.54296875" customWidth="1"/>
    <col min="4625" max="4625" width="14" customWidth="1"/>
    <col min="4865" max="4865" width="6.1796875" customWidth="1"/>
    <col min="4866" max="4866" width="4.81640625" customWidth="1"/>
    <col min="4867" max="4867" width="12.81640625" bestFit="1" customWidth="1"/>
    <col min="4868" max="4868" width="24.6328125" customWidth="1"/>
    <col min="4869" max="4869" width="4.36328125" customWidth="1"/>
    <col min="4870" max="4870" width="10.08984375" customWidth="1"/>
    <col min="4871" max="4871" width="7.08984375" customWidth="1"/>
    <col min="4872" max="4872" width="10" customWidth="1"/>
    <col min="4873" max="4873" width="6.6328125" customWidth="1"/>
    <col min="4874" max="4874" width="14.90625" customWidth="1"/>
    <col min="4875" max="4875" width="0" hidden="1" customWidth="1"/>
    <col min="4876" max="4876" width="7.81640625" customWidth="1"/>
    <col min="4877" max="4879" width="0" hidden="1" customWidth="1"/>
    <col min="4880" max="4880" width="3.54296875" customWidth="1"/>
    <col min="4881" max="4881" width="14" customWidth="1"/>
    <col min="5121" max="5121" width="6.1796875" customWidth="1"/>
    <col min="5122" max="5122" width="4.81640625" customWidth="1"/>
    <col min="5123" max="5123" width="12.81640625" bestFit="1" customWidth="1"/>
    <col min="5124" max="5124" width="24.6328125" customWidth="1"/>
    <col min="5125" max="5125" width="4.36328125" customWidth="1"/>
    <col min="5126" max="5126" width="10.08984375" customWidth="1"/>
    <col min="5127" max="5127" width="7.08984375" customWidth="1"/>
    <col min="5128" max="5128" width="10" customWidth="1"/>
    <col min="5129" max="5129" width="6.6328125" customWidth="1"/>
    <col min="5130" max="5130" width="14.90625" customWidth="1"/>
    <col min="5131" max="5131" width="0" hidden="1" customWidth="1"/>
    <col min="5132" max="5132" width="7.81640625" customWidth="1"/>
    <col min="5133" max="5135" width="0" hidden="1" customWidth="1"/>
    <col min="5136" max="5136" width="3.54296875" customWidth="1"/>
    <col min="5137" max="5137" width="14" customWidth="1"/>
    <col min="5377" max="5377" width="6.1796875" customWidth="1"/>
    <col min="5378" max="5378" width="4.81640625" customWidth="1"/>
    <col min="5379" max="5379" width="12.81640625" bestFit="1" customWidth="1"/>
    <col min="5380" max="5380" width="24.6328125" customWidth="1"/>
    <col min="5381" max="5381" width="4.36328125" customWidth="1"/>
    <col min="5382" max="5382" width="10.08984375" customWidth="1"/>
    <col min="5383" max="5383" width="7.08984375" customWidth="1"/>
    <col min="5384" max="5384" width="10" customWidth="1"/>
    <col min="5385" max="5385" width="6.6328125" customWidth="1"/>
    <col min="5386" max="5386" width="14.90625" customWidth="1"/>
    <col min="5387" max="5387" width="0" hidden="1" customWidth="1"/>
    <col min="5388" max="5388" width="7.81640625" customWidth="1"/>
    <col min="5389" max="5391" width="0" hidden="1" customWidth="1"/>
    <col min="5392" max="5392" width="3.54296875" customWidth="1"/>
    <col min="5393" max="5393" width="14" customWidth="1"/>
    <col min="5633" max="5633" width="6.1796875" customWidth="1"/>
    <col min="5634" max="5634" width="4.81640625" customWidth="1"/>
    <col min="5635" max="5635" width="12.81640625" bestFit="1" customWidth="1"/>
    <col min="5636" max="5636" width="24.6328125" customWidth="1"/>
    <col min="5637" max="5637" width="4.36328125" customWidth="1"/>
    <col min="5638" max="5638" width="10.08984375" customWidth="1"/>
    <col min="5639" max="5639" width="7.08984375" customWidth="1"/>
    <col min="5640" max="5640" width="10" customWidth="1"/>
    <col min="5641" max="5641" width="6.6328125" customWidth="1"/>
    <col min="5642" max="5642" width="14.90625" customWidth="1"/>
    <col min="5643" max="5643" width="0" hidden="1" customWidth="1"/>
    <col min="5644" max="5644" width="7.81640625" customWidth="1"/>
    <col min="5645" max="5647" width="0" hidden="1" customWidth="1"/>
    <col min="5648" max="5648" width="3.54296875" customWidth="1"/>
    <col min="5649" max="5649" width="14" customWidth="1"/>
    <col min="5889" max="5889" width="6.1796875" customWidth="1"/>
    <col min="5890" max="5890" width="4.81640625" customWidth="1"/>
    <col min="5891" max="5891" width="12.81640625" bestFit="1" customWidth="1"/>
    <col min="5892" max="5892" width="24.6328125" customWidth="1"/>
    <col min="5893" max="5893" width="4.36328125" customWidth="1"/>
    <col min="5894" max="5894" width="10.08984375" customWidth="1"/>
    <col min="5895" max="5895" width="7.08984375" customWidth="1"/>
    <col min="5896" max="5896" width="10" customWidth="1"/>
    <col min="5897" max="5897" width="6.6328125" customWidth="1"/>
    <col min="5898" max="5898" width="14.90625" customWidth="1"/>
    <col min="5899" max="5899" width="0" hidden="1" customWidth="1"/>
    <col min="5900" max="5900" width="7.81640625" customWidth="1"/>
    <col min="5901" max="5903" width="0" hidden="1" customWidth="1"/>
    <col min="5904" max="5904" width="3.54296875" customWidth="1"/>
    <col min="5905" max="5905" width="14" customWidth="1"/>
    <col min="6145" max="6145" width="6.1796875" customWidth="1"/>
    <col min="6146" max="6146" width="4.81640625" customWidth="1"/>
    <col min="6147" max="6147" width="12.81640625" bestFit="1" customWidth="1"/>
    <col min="6148" max="6148" width="24.6328125" customWidth="1"/>
    <col min="6149" max="6149" width="4.36328125" customWidth="1"/>
    <col min="6150" max="6150" width="10.08984375" customWidth="1"/>
    <col min="6151" max="6151" width="7.08984375" customWidth="1"/>
    <col min="6152" max="6152" width="10" customWidth="1"/>
    <col min="6153" max="6153" width="6.6328125" customWidth="1"/>
    <col min="6154" max="6154" width="14.90625" customWidth="1"/>
    <col min="6155" max="6155" width="0" hidden="1" customWidth="1"/>
    <col min="6156" max="6156" width="7.81640625" customWidth="1"/>
    <col min="6157" max="6159" width="0" hidden="1" customWidth="1"/>
    <col min="6160" max="6160" width="3.54296875" customWidth="1"/>
    <col min="6161" max="6161" width="14" customWidth="1"/>
    <col min="6401" max="6401" width="6.1796875" customWidth="1"/>
    <col min="6402" max="6402" width="4.81640625" customWidth="1"/>
    <col min="6403" max="6403" width="12.81640625" bestFit="1" customWidth="1"/>
    <col min="6404" max="6404" width="24.6328125" customWidth="1"/>
    <col min="6405" max="6405" width="4.36328125" customWidth="1"/>
    <col min="6406" max="6406" width="10.08984375" customWidth="1"/>
    <col min="6407" max="6407" width="7.08984375" customWidth="1"/>
    <col min="6408" max="6408" width="10" customWidth="1"/>
    <col min="6409" max="6409" width="6.6328125" customWidth="1"/>
    <col min="6410" max="6410" width="14.90625" customWidth="1"/>
    <col min="6411" max="6411" width="0" hidden="1" customWidth="1"/>
    <col min="6412" max="6412" width="7.81640625" customWidth="1"/>
    <col min="6413" max="6415" width="0" hidden="1" customWidth="1"/>
    <col min="6416" max="6416" width="3.54296875" customWidth="1"/>
    <col min="6417" max="6417" width="14" customWidth="1"/>
    <col min="6657" max="6657" width="6.1796875" customWidth="1"/>
    <col min="6658" max="6658" width="4.81640625" customWidth="1"/>
    <col min="6659" max="6659" width="12.81640625" bestFit="1" customWidth="1"/>
    <col min="6660" max="6660" width="24.6328125" customWidth="1"/>
    <col min="6661" max="6661" width="4.36328125" customWidth="1"/>
    <col min="6662" max="6662" width="10.08984375" customWidth="1"/>
    <col min="6663" max="6663" width="7.08984375" customWidth="1"/>
    <col min="6664" max="6664" width="10" customWidth="1"/>
    <col min="6665" max="6665" width="6.6328125" customWidth="1"/>
    <col min="6666" max="6666" width="14.90625" customWidth="1"/>
    <col min="6667" max="6667" width="0" hidden="1" customWidth="1"/>
    <col min="6668" max="6668" width="7.81640625" customWidth="1"/>
    <col min="6669" max="6671" width="0" hidden="1" customWidth="1"/>
    <col min="6672" max="6672" width="3.54296875" customWidth="1"/>
    <col min="6673" max="6673" width="14" customWidth="1"/>
    <col min="6913" max="6913" width="6.1796875" customWidth="1"/>
    <col min="6914" max="6914" width="4.81640625" customWidth="1"/>
    <col min="6915" max="6915" width="12.81640625" bestFit="1" customWidth="1"/>
    <col min="6916" max="6916" width="24.6328125" customWidth="1"/>
    <col min="6917" max="6917" width="4.36328125" customWidth="1"/>
    <col min="6918" max="6918" width="10.08984375" customWidth="1"/>
    <col min="6919" max="6919" width="7.08984375" customWidth="1"/>
    <col min="6920" max="6920" width="10" customWidth="1"/>
    <col min="6921" max="6921" width="6.6328125" customWidth="1"/>
    <col min="6922" max="6922" width="14.90625" customWidth="1"/>
    <col min="6923" max="6923" width="0" hidden="1" customWidth="1"/>
    <col min="6924" max="6924" width="7.81640625" customWidth="1"/>
    <col min="6925" max="6927" width="0" hidden="1" customWidth="1"/>
    <col min="6928" max="6928" width="3.54296875" customWidth="1"/>
    <col min="6929" max="6929" width="14" customWidth="1"/>
    <col min="7169" max="7169" width="6.1796875" customWidth="1"/>
    <col min="7170" max="7170" width="4.81640625" customWidth="1"/>
    <col min="7171" max="7171" width="12.81640625" bestFit="1" customWidth="1"/>
    <col min="7172" max="7172" width="24.6328125" customWidth="1"/>
    <col min="7173" max="7173" width="4.36328125" customWidth="1"/>
    <col min="7174" max="7174" width="10.08984375" customWidth="1"/>
    <col min="7175" max="7175" width="7.08984375" customWidth="1"/>
    <col min="7176" max="7176" width="10" customWidth="1"/>
    <col min="7177" max="7177" width="6.6328125" customWidth="1"/>
    <col min="7178" max="7178" width="14.90625" customWidth="1"/>
    <col min="7179" max="7179" width="0" hidden="1" customWidth="1"/>
    <col min="7180" max="7180" width="7.81640625" customWidth="1"/>
    <col min="7181" max="7183" width="0" hidden="1" customWidth="1"/>
    <col min="7184" max="7184" width="3.54296875" customWidth="1"/>
    <col min="7185" max="7185" width="14" customWidth="1"/>
    <col min="7425" max="7425" width="6.1796875" customWidth="1"/>
    <col min="7426" max="7426" width="4.81640625" customWidth="1"/>
    <col min="7427" max="7427" width="12.81640625" bestFit="1" customWidth="1"/>
    <col min="7428" max="7428" width="24.6328125" customWidth="1"/>
    <col min="7429" max="7429" width="4.36328125" customWidth="1"/>
    <col min="7430" max="7430" width="10.08984375" customWidth="1"/>
    <col min="7431" max="7431" width="7.08984375" customWidth="1"/>
    <col min="7432" max="7432" width="10" customWidth="1"/>
    <col min="7433" max="7433" width="6.6328125" customWidth="1"/>
    <col min="7434" max="7434" width="14.90625" customWidth="1"/>
    <col min="7435" max="7435" width="0" hidden="1" customWidth="1"/>
    <col min="7436" max="7436" width="7.81640625" customWidth="1"/>
    <col min="7437" max="7439" width="0" hidden="1" customWidth="1"/>
    <col min="7440" max="7440" width="3.54296875" customWidth="1"/>
    <col min="7441" max="7441" width="14" customWidth="1"/>
    <col min="7681" max="7681" width="6.1796875" customWidth="1"/>
    <col min="7682" max="7682" width="4.81640625" customWidth="1"/>
    <col min="7683" max="7683" width="12.81640625" bestFit="1" customWidth="1"/>
    <col min="7684" max="7684" width="24.6328125" customWidth="1"/>
    <col min="7685" max="7685" width="4.36328125" customWidth="1"/>
    <col min="7686" max="7686" width="10.08984375" customWidth="1"/>
    <col min="7687" max="7687" width="7.08984375" customWidth="1"/>
    <col min="7688" max="7688" width="10" customWidth="1"/>
    <col min="7689" max="7689" width="6.6328125" customWidth="1"/>
    <col min="7690" max="7690" width="14.90625" customWidth="1"/>
    <col min="7691" max="7691" width="0" hidden="1" customWidth="1"/>
    <col min="7692" max="7692" width="7.81640625" customWidth="1"/>
    <col min="7693" max="7695" width="0" hidden="1" customWidth="1"/>
    <col min="7696" max="7696" width="3.54296875" customWidth="1"/>
    <col min="7697" max="7697" width="14" customWidth="1"/>
    <col min="7937" max="7937" width="6.1796875" customWidth="1"/>
    <col min="7938" max="7938" width="4.81640625" customWidth="1"/>
    <col min="7939" max="7939" width="12.81640625" bestFit="1" customWidth="1"/>
    <col min="7940" max="7940" width="24.6328125" customWidth="1"/>
    <col min="7941" max="7941" width="4.36328125" customWidth="1"/>
    <col min="7942" max="7942" width="10.08984375" customWidth="1"/>
    <col min="7943" max="7943" width="7.08984375" customWidth="1"/>
    <col min="7944" max="7944" width="10" customWidth="1"/>
    <col min="7945" max="7945" width="6.6328125" customWidth="1"/>
    <col min="7946" max="7946" width="14.90625" customWidth="1"/>
    <col min="7947" max="7947" width="0" hidden="1" customWidth="1"/>
    <col min="7948" max="7948" width="7.81640625" customWidth="1"/>
    <col min="7949" max="7951" width="0" hidden="1" customWidth="1"/>
    <col min="7952" max="7952" width="3.54296875" customWidth="1"/>
    <col min="7953" max="7953" width="14" customWidth="1"/>
    <col min="8193" max="8193" width="6.1796875" customWidth="1"/>
    <col min="8194" max="8194" width="4.81640625" customWidth="1"/>
    <col min="8195" max="8195" width="12.81640625" bestFit="1" customWidth="1"/>
    <col min="8196" max="8196" width="24.6328125" customWidth="1"/>
    <col min="8197" max="8197" width="4.36328125" customWidth="1"/>
    <col min="8198" max="8198" width="10.08984375" customWidth="1"/>
    <col min="8199" max="8199" width="7.08984375" customWidth="1"/>
    <col min="8200" max="8200" width="10" customWidth="1"/>
    <col min="8201" max="8201" width="6.6328125" customWidth="1"/>
    <col min="8202" max="8202" width="14.90625" customWidth="1"/>
    <col min="8203" max="8203" width="0" hidden="1" customWidth="1"/>
    <col min="8204" max="8204" width="7.81640625" customWidth="1"/>
    <col min="8205" max="8207" width="0" hidden="1" customWidth="1"/>
    <col min="8208" max="8208" width="3.54296875" customWidth="1"/>
    <col min="8209" max="8209" width="14" customWidth="1"/>
    <col min="8449" max="8449" width="6.1796875" customWidth="1"/>
    <col min="8450" max="8450" width="4.81640625" customWidth="1"/>
    <col min="8451" max="8451" width="12.81640625" bestFit="1" customWidth="1"/>
    <col min="8452" max="8452" width="24.6328125" customWidth="1"/>
    <col min="8453" max="8453" width="4.36328125" customWidth="1"/>
    <col min="8454" max="8454" width="10.08984375" customWidth="1"/>
    <col min="8455" max="8455" width="7.08984375" customWidth="1"/>
    <col min="8456" max="8456" width="10" customWidth="1"/>
    <col min="8457" max="8457" width="6.6328125" customWidth="1"/>
    <col min="8458" max="8458" width="14.90625" customWidth="1"/>
    <col min="8459" max="8459" width="0" hidden="1" customWidth="1"/>
    <col min="8460" max="8460" width="7.81640625" customWidth="1"/>
    <col min="8461" max="8463" width="0" hidden="1" customWidth="1"/>
    <col min="8464" max="8464" width="3.54296875" customWidth="1"/>
    <col min="8465" max="8465" width="14" customWidth="1"/>
    <col min="8705" max="8705" width="6.1796875" customWidth="1"/>
    <col min="8706" max="8706" width="4.81640625" customWidth="1"/>
    <col min="8707" max="8707" width="12.81640625" bestFit="1" customWidth="1"/>
    <col min="8708" max="8708" width="24.6328125" customWidth="1"/>
    <col min="8709" max="8709" width="4.36328125" customWidth="1"/>
    <col min="8710" max="8710" width="10.08984375" customWidth="1"/>
    <col min="8711" max="8711" width="7.08984375" customWidth="1"/>
    <col min="8712" max="8712" width="10" customWidth="1"/>
    <col min="8713" max="8713" width="6.6328125" customWidth="1"/>
    <col min="8714" max="8714" width="14.90625" customWidth="1"/>
    <col min="8715" max="8715" width="0" hidden="1" customWidth="1"/>
    <col min="8716" max="8716" width="7.81640625" customWidth="1"/>
    <col min="8717" max="8719" width="0" hidden="1" customWidth="1"/>
    <col min="8720" max="8720" width="3.54296875" customWidth="1"/>
    <col min="8721" max="8721" width="14" customWidth="1"/>
    <col min="8961" max="8961" width="6.1796875" customWidth="1"/>
    <col min="8962" max="8962" width="4.81640625" customWidth="1"/>
    <col min="8963" max="8963" width="12.81640625" bestFit="1" customWidth="1"/>
    <col min="8964" max="8964" width="24.6328125" customWidth="1"/>
    <col min="8965" max="8965" width="4.36328125" customWidth="1"/>
    <col min="8966" max="8966" width="10.08984375" customWidth="1"/>
    <col min="8967" max="8967" width="7.08984375" customWidth="1"/>
    <col min="8968" max="8968" width="10" customWidth="1"/>
    <col min="8969" max="8969" width="6.6328125" customWidth="1"/>
    <col min="8970" max="8970" width="14.90625" customWidth="1"/>
    <col min="8971" max="8971" width="0" hidden="1" customWidth="1"/>
    <col min="8972" max="8972" width="7.81640625" customWidth="1"/>
    <col min="8973" max="8975" width="0" hidden="1" customWidth="1"/>
    <col min="8976" max="8976" width="3.54296875" customWidth="1"/>
    <col min="8977" max="8977" width="14" customWidth="1"/>
    <col min="9217" max="9217" width="6.1796875" customWidth="1"/>
    <col min="9218" max="9218" width="4.81640625" customWidth="1"/>
    <col min="9219" max="9219" width="12.81640625" bestFit="1" customWidth="1"/>
    <col min="9220" max="9220" width="24.6328125" customWidth="1"/>
    <col min="9221" max="9221" width="4.36328125" customWidth="1"/>
    <col min="9222" max="9222" width="10.08984375" customWidth="1"/>
    <col min="9223" max="9223" width="7.08984375" customWidth="1"/>
    <col min="9224" max="9224" width="10" customWidth="1"/>
    <col min="9225" max="9225" width="6.6328125" customWidth="1"/>
    <col min="9226" max="9226" width="14.90625" customWidth="1"/>
    <col min="9227" max="9227" width="0" hidden="1" customWidth="1"/>
    <col min="9228" max="9228" width="7.81640625" customWidth="1"/>
    <col min="9229" max="9231" width="0" hidden="1" customWidth="1"/>
    <col min="9232" max="9232" width="3.54296875" customWidth="1"/>
    <col min="9233" max="9233" width="14" customWidth="1"/>
    <col min="9473" max="9473" width="6.1796875" customWidth="1"/>
    <col min="9474" max="9474" width="4.81640625" customWidth="1"/>
    <col min="9475" max="9475" width="12.81640625" bestFit="1" customWidth="1"/>
    <col min="9476" max="9476" width="24.6328125" customWidth="1"/>
    <col min="9477" max="9477" width="4.36328125" customWidth="1"/>
    <col min="9478" max="9478" width="10.08984375" customWidth="1"/>
    <col min="9479" max="9479" width="7.08984375" customWidth="1"/>
    <col min="9480" max="9480" width="10" customWidth="1"/>
    <col min="9481" max="9481" width="6.6328125" customWidth="1"/>
    <col min="9482" max="9482" width="14.90625" customWidth="1"/>
    <col min="9483" max="9483" width="0" hidden="1" customWidth="1"/>
    <col min="9484" max="9484" width="7.81640625" customWidth="1"/>
    <col min="9485" max="9487" width="0" hidden="1" customWidth="1"/>
    <col min="9488" max="9488" width="3.54296875" customWidth="1"/>
    <col min="9489" max="9489" width="14" customWidth="1"/>
    <col min="9729" max="9729" width="6.1796875" customWidth="1"/>
    <col min="9730" max="9730" width="4.81640625" customWidth="1"/>
    <col min="9731" max="9731" width="12.81640625" bestFit="1" customWidth="1"/>
    <col min="9732" max="9732" width="24.6328125" customWidth="1"/>
    <col min="9733" max="9733" width="4.36328125" customWidth="1"/>
    <col min="9734" max="9734" width="10.08984375" customWidth="1"/>
    <col min="9735" max="9735" width="7.08984375" customWidth="1"/>
    <col min="9736" max="9736" width="10" customWidth="1"/>
    <col min="9737" max="9737" width="6.6328125" customWidth="1"/>
    <col min="9738" max="9738" width="14.90625" customWidth="1"/>
    <col min="9739" max="9739" width="0" hidden="1" customWidth="1"/>
    <col min="9740" max="9740" width="7.81640625" customWidth="1"/>
    <col min="9741" max="9743" width="0" hidden="1" customWidth="1"/>
    <col min="9744" max="9744" width="3.54296875" customWidth="1"/>
    <col min="9745" max="9745" width="14" customWidth="1"/>
    <col min="9985" max="9985" width="6.1796875" customWidth="1"/>
    <col min="9986" max="9986" width="4.81640625" customWidth="1"/>
    <col min="9987" max="9987" width="12.81640625" bestFit="1" customWidth="1"/>
    <col min="9988" max="9988" width="24.6328125" customWidth="1"/>
    <col min="9989" max="9989" width="4.36328125" customWidth="1"/>
    <col min="9990" max="9990" width="10.08984375" customWidth="1"/>
    <col min="9991" max="9991" width="7.08984375" customWidth="1"/>
    <col min="9992" max="9992" width="10" customWidth="1"/>
    <col min="9993" max="9993" width="6.6328125" customWidth="1"/>
    <col min="9994" max="9994" width="14.90625" customWidth="1"/>
    <col min="9995" max="9995" width="0" hidden="1" customWidth="1"/>
    <col min="9996" max="9996" width="7.81640625" customWidth="1"/>
    <col min="9997" max="9999" width="0" hidden="1" customWidth="1"/>
    <col min="10000" max="10000" width="3.54296875" customWidth="1"/>
    <col min="10001" max="10001" width="14" customWidth="1"/>
    <col min="10241" max="10241" width="6.1796875" customWidth="1"/>
    <col min="10242" max="10242" width="4.81640625" customWidth="1"/>
    <col min="10243" max="10243" width="12.81640625" bestFit="1" customWidth="1"/>
    <col min="10244" max="10244" width="24.6328125" customWidth="1"/>
    <col min="10245" max="10245" width="4.36328125" customWidth="1"/>
    <col min="10246" max="10246" width="10.08984375" customWidth="1"/>
    <col min="10247" max="10247" width="7.08984375" customWidth="1"/>
    <col min="10248" max="10248" width="10" customWidth="1"/>
    <col min="10249" max="10249" width="6.6328125" customWidth="1"/>
    <col min="10250" max="10250" width="14.90625" customWidth="1"/>
    <col min="10251" max="10251" width="0" hidden="1" customWidth="1"/>
    <col min="10252" max="10252" width="7.81640625" customWidth="1"/>
    <col min="10253" max="10255" width="0" hidden="1" customWidth="1"/>
    <col min="10256" max="10256" width="3.54296875" customWidth="1"/>
    <col min="10257" max="10257" width="14" customWidth="1"/>
    <col min="10497" max="10497" width="6.1796875" customWidth="1"/>
    <col min="10498" max="10498" width="4.81640625" customWidth="1"/>
    <col min="10499" max="10499" width="12.81640625" bestFit="1" customWidth="1"/>
    <col min="10500" max="10500" width="24.6328125" customWidth="1"/>
    <col min="10501" max="10501" width="4.36328125" customWidth="1"/>
    <col min="10502" max="10502" width="10.08984375" customWidth="1"/>
    <col min="10503" max="10503" width="7.08984375" customWidth="1"/>
    <col min="10504" max="10504" width="10" customWidth="1"/>
    <col min="10505" max="10505" width="6.6328125" customWidth="1"/>
    <col min="10506" max="10506" width="14.90625" customWidth="1"/>
    <col min="10507" max="10507" width="0" hidden="1" customWidth="1"/>
    <col min="10508" max="10508" width="7.81640625" customWidth="1"/>
    <col min="10509" max="10511" width="0" hidden="1" customWidth="1"/>
    <col min="10512" max="10512" width="3.54296875" customWidth="1"/>
    <col min="10513" max="10513" width="14" customWidth="1"/>
    <col min="10753" max="10753" width="6.1796875" customWidth="1"/>
    <col min="10754" max="10754" width="4.81640625" customWidth="1"/>
    <col min="10755" max="10755" width="12.81640625" bestFit="1" customWidth="1"/>
    <col min="10756" max="10756" width="24.6328125" customWidth="1"/>
    <col min="10757" max="10757" width="4.36328125" customWidth="1"/>
    <col min="10758" max="10758" width="10.08984375" customWidth="1"/>
    <col min="10759" max="10759" width="7.08984375" customWidth="1"/>
    <col min="10760" max="10760" width="10" customWidth="1"/>
    <col min="10761" max="10761" width="6.6328125" customWidth="1"/>
    <col min="10762" max="10762" width="14.90625" customWidth="1"/>
    <col min="10763" max="10763" width="0" hidden="1" customWidth="1"/>
    <col min="10764" max="10764" width="7.81640625" customWidth="1"/>
    <col min="10765" max="10767" width="0" hidden="1" customWidth="1"/>
    <col min="10768" max="10768" width="3.54296875" customWidth="1"/>
    <col min="10769" max="10769" width="14" customWidth="1"/>
    <col min="11009" max="11009" width="6.1796875" customWidth="1"/>
    <col min="11010" max="11010" width="4.81640625" customWidth="1"/>
    <col min="11011" max="11011" width="12.81640625" bestFit="1" customWidth="1"/>
    <col min="11012" max="11012" width="24.6328125" customWidth="1"/>
    <col min="11013" max="11013" width="4.36328125" customWidth="1"/>
    <col min="11014" max="11014" width="10.08984375" customWidth="1"/>
    <col min="11015" max="11015" width="7.08984375" customWidth="1"/>
    <col min="11016" max="11016" width="10" customWidth="1"/>
    <col min="11017" max="11017" width="6.6328125" customWidth="1"/>
    <col min="11018" max="11018" width="14.90625" customWidth="1"/>
    <col min="11019" max="11019" width="0" hidden="1" customWidth="1"/>
    <col min="11020" max="11020" width="7.81640625" customWidth="1"/>
    <col min="11021" max="11023" width="0" hidden="1" customWidth="1"/>
    <col min="11024" max="11024" width="3.54296875" customWidth="1"/>
    <col min="11025" max="11025" width="14" customWidth="1"/>
    <col min="11265" max="11265" width="6.1796875" customWidth="1"/>
    <col min="11266" max="11266" width="4.81640625" customWidth="1"/>
    <col min="11267" max="11267" width="12.81640625" bestFit="1" customWidth="1"/>
    <col min="11268" max="11268" width="24.6328125" customWidth="1"/>
    <col min="11269" max="11269" width="4.36328125" customWidth="1"/>
    <col min="11270" max="11270" width="10.08984375" customWidth="1"/>
    <col min="11271" max="11271" width="7.08984375" customWidth="1"/>
    <col min="11272" max="11272" width="10" customWidth="1"/>
    <col min="11273" max="11273" width="6.6328125" customWidth="1"/>
    <col min="11274" max="11274" width="14.90625" customWidth="1"/>
    <col min="11275" max="11275" width="0" hidden="1" customWidth="1"/>
    <col min="11276" max="11276" width="7.81640625" customWidth="1"/>
    <col min="11277" max="11279" width="0" hidden="1" customWidth="1"/>
    <col min="11280" max="11280" width="3.54296875" customWidth="1"/>
    <col min="11281" max="11281" width="14" customWidth="1"/>
    <col min="11521" max="11521" width="6.1796875" customWidth="1"/>
    <col min="11522" max="11522" width="4.81640625" customWidth="1"/>
    <col min="11523" max="11523" width="12.81640625" bestFit="1" customWidth="1"/>
    <col min="11524" max="11524" width="24.6328125" customWidth="1"/>
    <col min="11525" max="11525" width="4.36328125" customWidth="1"/>
    <col min="11526" max="11526" width="10.08984375" customWidth="1"/>
    <col min="11527" max="11527" width="7.08984375" customWidth="1"/>
    <col min="11528" max="11528" width="10" customWidth="1"/>
    <col min="11529" max="11529" width="6.6328125" customWidth="1"/>
    <col min="11530" max="11530" width="14.90625" customWidth="1"/>
    <col min="11531" max="11531" width="0" hidden="1" customWidth="1"/>
    <col min="11532" max="11532" width="7.81640625" customWidth="1"/>
    <col min="11533" max="11535" width="0" hidden="1" customWidth="1"/>
    <col min="11536" max="11536" width="3.54296875" customWidth="1"/>
    <col min="11537" max="11537" width="14" customWidth="1"/>
    <col min="11777" max="11777" width="6.1796875" customWidth="1"/>
    <col min="11778" max="11778" width="4.81640625" customWidth="1"/>
    <col min="11779" max="11779" width="12.81640625" bestFit="1" customWidth="1"/>
    <col min="11780" max="11780" width="24.6328125" customWidth="1"/>
    <col min="11781" max="11781" width="4.36328125" customWidth="1"/>
    <col min="11782" max="11782" width="10.08984375" customWidth="1"/>
    <col min="11783" max="11783" width="7.08984375" customWidth="1"/>
    <col min="11784" max="11784" width="10" customWidth="1"/>
    <col min="11785" max="11785" width="6.6328125" customWidth="1"/>
    <col min="11786" max="11786" width="14.90625" customWidth="1"/>
    <col min="11787" max="11787" width="0" hidden="1" customWidth="1"/>
    <col min="11788" max="11788" width="7.81640625" customWidth="1"/>
    <col min="11789" max="11791" width="0" hidden="1" customWidth="1"/>
    <col min="11792" max="11792" width="3.54296875" customWidth="1"/>
    <col min="11793" max="11793" width="14" customWidth="1"/>
    <col min="12033" max="12033" width="6.1796875" customWidth="1"/>
    <col min="12034" max="12034" width="4.81640625" customWidth="1"/>
    <col min="12035" max="12035" width="12.81640625" bestFit="1" customWidth="1"/>
    <col min="12036" max="12036" width="24.6328125" customWidth="1"/>
    <col min="12037" max="12037" width="4.36328125" customWidth="1"/>
    <col min="12038" max="12038" width="10.08984375" customWidth="1"/>
    <col min="12039" max="12039" width="7.08984375" customWidth="1"/>
    <col min="12040" max="12040" width="10" customWidth="1"/>
    <col min="12041" max="12041" width="6.6328125" customWidth="1"/>
    <col min="12042" max="12042" width="14.90625" customWidth="1"/>
    <col min="12043" max="12043" width="0" hidden="1" customWidth="1"/>
    <col min="12044" max="12044" width="7.81640625" customWidth="1"/>
    <col min="12045" max="12047" width="0" hidden="1" customWidth="1"/>
    <col min="12048" max="12048" width="3.54296875" customWidth="1"/>
    <col min="12049" max="12049" width="14" customWidth="1"/>
    <col min="12289" max="12289" width="6.1796875" customWidth="1"/>
    <col min="12290" max="12290" width="4.81640625" customWidth="1"/>
    <col min="12291" max="12291" width="12.81640625" bestFit="1" customWidth="1"/>
    <col min="12292" max="12292" width="24.6328125" customWidth="1"/>
    <col min="12293" max="12293" width="4.36328125" customWidth="1"/>
    <col min="12294" max="12294" width="10.08984375" customWidth="1"/>
    <col min="12295" max="12295" width="7.08984375" customWidth="1"/>
    <col min="12296" max="12296" width="10" customWidth="1"/>
    <col min="12297" max="12297" width="6.6328125" customWidth="1"/>
    <col min="12298" max="12298" width="14.90625" customWidth="1"/>
    <col min="12299" max="12299" width="0" hidden="1" customWidth="1"/>
    <col min="12300" max="12300" width="7.81640625" customWidth="1"/>
    <col min="12301" max="12303" width="0" hidden="1" customWidth="1"/>
    <col min="12304" max="12304" width="3.54296875" customWidth="1"/>
    <col min="12305" max="12305" width="14" customWidth="1"/>
    <col min="12545" max="12545" width="6.1796875" customWidth="1"/>
    <col min="12546" max="12546" width="4.81640625" customWidth="1"/>
    <col min="12547" max="12547" width="12.81640625" bestFit="1" customWidth="1"/>
    <col min="12548" max="12548" width="24.6328125" customWidth="1"/>
    <col min="12549" max="12549" width="4.36328125" customWidth="1"/>
    <col min="12550" max="12550" width="10.08984375" customWidth="1"/>
    <col min="12551" max="12551" width="7.08984375" customWidth="1"/>
    <col min="12552" max="12552" width="10" customWidth="1"/>
    <col min="12553" max="12553" width="6.6328125" customWidth="1"/>
    <col min="12554" max="12554" width="14.90625" customWidth="1"/>
    <col min="12555" max="12555" width="0" hidden="1" customWidth="1"/>
    <col min="12556" max="12556" width="7.81640625" customWidth="1"/>
    <col min="12557" max="12559" width="0" hidden="1" customWidth="1"/>
    <col min="12560" max="12560" width="3.54296875" customWidth="1"/>
    <col min="12561" max="12561" width="14" customWidth="1"/>
    <col min="12801" max="12801" width="6.1796875" customWidth="1"/>
    <col min="12802" max="12802" width="4.81640625" customWidth="1"/>
    <col min="12803" max="12803" width="12.81640625" bestFit="1" customWidth="1"/>
    <col min="12804" max="12804" width="24.6328125" customWidth="1"/>
    <col min="12805" max="12805" width="4.36328125" customWidth="1"/>
    <col min="12806" max="12806" width="10.08984375" customWidth="1"/>
    <col min="12807" max="12807" width="7.08984375" customWidth="1"/>
    <col min="12808" max="12808" width="10" customWidth="1"/>
    <col min="12809" max="12809" width="6.6328125" customWidth="1"/>
    <col min="12810" max="12810" width="14.90625" customWidth="1"/>
    <col min="12811" max="12811" width="0" hidden="1" customWidth="1"/>
    <col min="12812" max="12812" width="7.81640625" customWidth="1"/>
    <col min="12813" max="12815" width="0" hidden="1" customWidth="1"/>
    <col min="12816" max="12816" width="3.54296875" customWidth="1"/>
    <col min="12817" max="12817" width="14" customWidth="1"/>
    <col min="13057" max="13057" width="6.1796875" customWidth="1"/>
    <col min="13058" max="13058" width="4.81640625" customWidth="1"/>
    <col min="13059" max="13059" width="12.81640625" bestFit="1" customWidth="1"/>
    <col min="13060" max="13060" width="24.6328125" customWidth="1"/>
    <col min="13061" max="13061" width="4.36328125" customWidth="1"/>
    <col min="13062" max="13062" width="10.08984375" customWidth="1"/>
    <col min="13063" max="13063" width="7.08984375" customWidth="1"/>
    <col min="13064" max="13064" width="10" customWidth="1"/>
    <col min="13065" max="13065" width="6.6328125" customWidth="1"/>
    <col min="13066" max="13066" width="14.90625" customWidth="1"/>
    <col min="13067" max="13067" width="0" hidden="1" customWidth="1"/>
    <col min="13068" max="13068" width="7.81640625" customWidth="1"/>
    <col min="13069" max="13071" width="0" hidden="1" customWidth="1"/>
    <col min="13072" max="13072" width="3.54296875" customWidth="1"/>
    <col min="13073" max="13073" width="14" customWidth="1"/>
    <col min="13313" max="13313" width="6.1796875" customWidth="1"/>
    <col min="13314" max="13314" width="4.81640625" customWidth="1"/>
    <col min="13315" max="13315" width="12.81640625" bestFit="1" customWidth="1"/>
    <col min="13316" max="13316" width="24.6328125" customWidth="1"/>
    <col min="13317" max="13317" width="4.36328125" customWidth="1"/>
    <col min="13318" max="13318" width="10.08984375" customWidth="1"/>
    <col min="13319" max="13319" width="7.08984375" customWidth="1"/>
    <col min="13320" max="13320" width="10" customWidth="1"/>
    <col min="13321" max="13321" width="6.6328125" customWidth="1"/>
    <col min="13322" max="13322" width="14.90625" customWidth="1"/>
    <col min="13323" max="13323" width="0" hidden="1" customWidth="1"/>
    <col min="13324" max="13324" width="7.81640625" customWidth="1"/>
    <col min="13325" max="13327" width="0" hidden="1" customWidth="1"/>
    <col min="13328" max="13328" width="3.54296875" customWidth="1"/>
    <col min="13329" max="13329" width="14" customWidth="1"/>
    <col min="13569" max="13569" width="6.1796875" customWidth="1"/>
    <col min="13570" max="13570" width="4.81640625" customWidth="1"/>
    <col min="13571" max="13571" width="12.81640625" bestFit="1" customWidth="1"/>
    <col min="13572" max="13572" width="24.6328125" customWidth="1"/>
    <col min="13573" max="13573" width="4.36328125" customWidth="1"/>
    <col min="13574" max="13574" width="10.08984375" customWidth="1"/>
    <col min="13575" max="13575" width="7.08984375" customWidth="1"/>
    <col min="13576" max="13576" width="10" customWidth="1"/>
    <col min="13577" max="13577" width="6.6328125" customWidth="1"/>
    <col min="13578" max="13578" width="14.90625" customWidth="1"/>
    <col min="13579" max="13579" width="0" hidden="1" customWidth="1"/>
    <col min="13580" max="13580" width="7.81640625" customWidth="1"/>
    <col min="13581" max="13583" width="0" hidden="1" customWidth="1"/>
    <col min="13584" max="13584" width="3.54296875" customWidth="1"/>
    <col min="13585" max="13585" width="14" customWidth="1"/>
    <col min="13825" max="13825" width="6.1796875" customWidth="1"/>
    <col min="13826" max="13826" width="4.81640625" customWidth="1"/>
    <col min="13827" max="13827" width="12.81640625" bestFit="1" customWidth="1"/>
    <col min="13828" max="13828" width="24.6328125" customWidth="1"/>
    <col min="13829" max="13829" width="4.36328125" customWidth="1"/>
    <col min="13830" max="13830" width="10.08984375" customWidth="1"/>
    <col min="13831" max="13831" width="7.08984375" customWidth="1"/>
    <col min="13832" max="13832" width="10" customWidth="1"/>
    <col min="13833" max="13833" width="6.6328125" customWidth="1"/>
    <col min="13834" max="13834" width="14.90625" customWidth="1"/>
    <col min="13835" max="13835" width="0" hidden="1" customWidth="1"/>
    <col min="13836" max="13836" width="7.81640625" customWidth="1"/>
    <col min="13837" max="13839" width="0" hidden="1" customWidth="1"/>
    <col min="13840" max="13840" width="3.54296875" customWidth="1"/>
    <col min="13841" max="13841" width="14" customWidth="1"/>
    <col min="14081" max="14081" width="6.1796875" customWidth="1"/>
    <col min="14082" max="14082" width="4.81640625" customWidth="1"/>
    <col min="14083" max="14083" width="12.81640625" bestFit="1" customWidth="1"/>
    <col min="14084" max="14084" width="24.6328125" customWidth="1"/>
    <col min="14085" max="14085" width="4.36328125" customWidth="1"/>
    <col min="14086" max="14086" width="10.08984375" customWidth="1"/>
    <col min="14087" max="14087" width="7.08984375" customWidth="1"/>
    <col min="14088" max="14088" width="10" customWidth="1"/>
    <col min="14089" max="14089" width="6.6328125" customWidth="1"/>
    <col min="14090" max="14090" width="14.90625" customWidth="1"/>
    <col min="14091" max="14091" width="0" hidden="1" customWidth="1"/>
    <col min="14092" max="14092" width="7.81640625" customWidth="1"/>
    <col min="14093" max="14095" width="0" hidden="1" customWidth="1"/>
    <col min="14096" max="14096" width="3.54296875" customWidth="1"/>
    <col min="14097" max="14097" width="14" customWidth="1"/>
    <col min="14337" max="14337" width="6.1796875" customWidth="1"/>
    <col min="14338" max="14338" width="4.81640625" customWidth="1"/>
    <col min="14339" max="14339" width="12.81640625" bestFit="1" customWidth="1"/>
    <col min="14340" max="14340" width="24.6328125" customWidth="1"/>
    <col min="14341" max="14341" width="4.36328125" customWidth="1"/>
    <col min="14342" max="14342" width="10.08984375" customWidth="1"/>
    <col min="14343" max="14343" width="7.08984375" customWidth="1"/>
    <col min="14344" max="14344" width="10" customWidth="1"/>
    <col min="14345" max="14345" width="6.6328125" customWidth="1"/>
    <col min="14346" max="14346" width="14.90625" customWidth="1"/>
    <col min="14347" max="14347" width="0" hidden="1" customWidth="1"/>
    <col min="14348" max="14348" width="7.81640625" customWidth="1"/>
    <col min="14349" max="14351" width="0" hidden="1" customWidth="1"/>
    <col min="14352" max="14352" width="3.54296875" customWidth="1"/>
    <col min="14353" max="14353" width="14" customWidth="1"/>
    <col min="14593" max="14593" width="6.1796875" customWidth="1"/>
    <col min="14594" max="14594" width="4.81640625" customWidth="1"/>
    <col min="14595" max="14595" width="12.81640625" bestFit="1" customWidth="1"/>
    <col min="14596" max="14596" width="24.6328125" customWidth="1"/>
    <col min="14597" max="14597" width="4.36328125" customWidth="1"/>
    <col min="14598" max="14598" width="10.08984375" customWidth="1"/>
    <col min="14599" max="14599" width="7.08984375" customWidth="1"/>
    <col min="14600" max="14600" width="10" customWidth="1"/>
    <col min="14601" max="14601" width="6.6328125" customWidth="1"/>
    <col min="14602" max="14602" width="14.90625" customWidth="1"/>
    <col min="14603" max="14603" width="0" hidden="1" customWidth="1"/>
    <col min="14604" max="14604" width="7.81640625" customWidth="1"/>
    <col min="14605" max="14607" width="0" hidden="1" customWidth="1"/>
    <col min="14608" max="14608" width="3.54296875" customWidth="1"/>
    <col min="14609" max="14609" width="14" customWidth="1"/>
    <col min="14849" max="14849" width="6.1796875" customWidth="1"/>
    <col min="14850" max="14850" width="4.81640625" customWidth="1"/>
    <col min="14851" max="14851" width="12.81640625" bestFit="1" customWidth="1"/>
    <col min="14852" max="14852" width="24.6328125" customWidth="1"/>
    <col min="14853" max="14853" width="4.36328125" customWidth="1"/>
    <col min="14854" max="14854" width="10.08984375" customWidth="1"/>
    <col min="14855" max="14855" width="7.08984375" customWidth="1"/>
    <col min="14856" max="14856" width="10" customWidth="1"/>
    <col min="14857" max="14857" width="6.6328125" customWidth="1"/>
    <col min="14858" max="14858" width="14.90625" customWidth="1"/>
    <col min="14859" max="14859" width="0" hidden="1" customWidth="1"/>
    <col min="14860" max="14860" width="7.81640625" customWidth="1"/>
    <col min="14861" max="14863" width="0" hidden="1" customWidth="1"/>
    <col min="14864" max="14864" width="3.54296875" customWidth="1"/>
    <col min="14865" max="14865" width="14" customWidth="1"/>
    <col min="15105" max="15105" width="6.1796875" customWidth="1"/>
    <col min="15106" max="15106" width="4.81640625" customWidth="1"/>
    <col min="15107" max="15107" width="12.81640625" bestFit="1" customWidth="1"/>
    <col min="15108" max="15108" width="24.6328125" customWidth="1"/>
    <col min="15109" max="15109" width="4.36328125" customWidth="1"/>
    <col min="15110" max="15110" width="10.08984375" customWidth="1"/>
    <col min="15111" max="15111" width="7.08984375" customWidth="1"/>
    <col min="15112" max="15112" width="10" customWidth="1"/>
    <col min="15113" max="15113" width="6.6328125" customWidth="1"/>
    <col min="15114" max="15114" width="14.90625" customWidth="1"/>
    <col min="15115" max="15115" width="0" hidden="1" customWidth="1"/>
    <col min="15116" max="15116" width="7.81640625" customWidth="1"/>
    <col min="15117" max="15119" width="0" hidden="1" customWidth="1"/>
    <col min="15120" max="15120" width="3.54296875" customWidth="1"/>
    <col min="15121" max="15121" width="14" customWidth="1"/>
    <col min="15361" max="15361" width="6.1796875" customWidth="1"/>
    <col min="15362" max="15362" width="4.81640625" customWidth="1"/>
    <col min="15363" max="15363" width="12.81640625" bestFit="1" customWidth="1"/>
    <col min="15364" max="15364" width="24.6328125" customWidth="1"/>
    <col min="15365" max="15365" width="4.36328125" customWidth="1"/>
    <col min="15366" max="15366" width="10.08984375" customWidth="1"/>
    <col min="15367" max="15367" width="7.08984375" customWidth="1"/>
    <col min="15368" max="15368" width="10" customWidth="1"/>
    <col min="15369" max="15369" width="6.6328125" customWidth="1"/>
    <col min="15370" max="15370" width="14.90625" customWidth="1"/>
    <col min="15371" max="15371" width="0" hidden="1" customWidth="1"/>
    <col min="15372" max="15372" width="7.81640625" customWidth="1"/>
    <col min="15373" max="15375" width="0" hidden="1" customWidth="1"/>
    <col min="15376" max="15376" width="3.54296875" customWidth="1"/>
    <col min="15377" max="15377" width="14" customWidth="1"/>
    <col min="15617" max="15617" width="6.1796875" customWidth="1"/>
    <col min="15618" max="15618" width="4.81640625" customWidth="1"/>
    <col min="15619" max="15619" width="12.81640625" bestFit="1" customWidth="1"/>
    <col min="15620" max="15620" width="24.6328125" customWidth="1"/>
    <col min="15621" max="15621" width="4.36328125" customWidth="1"/>
    <col min="15622" max="15622" width="10.08984375" customWidth="1"/>
    <col min="15623" max="15623" width="7.08984375" customWidth="1"/>
    <col min="15624" max="15624" width="10" customWidth="1"/>
    <col min="15625" max="15625" width="6.6328125" customWidth="1"/>
    <col min="15626" max="15626" width="14.90625" customWidth="1"/>
    <col min="15627" max="15627" width="0" hidden="1" customWidth="1"/>
    <col min="15628" max="15628" width="7.81640625" customWidth="1"/>
    <col min="15629" max="15631" width="0" hidden="1" customWidth="1"/>
    <col min="15632" max="15632" width="3.54296875" customWidth="1"/>
    <col min="15633" max="15633" width="14" customWidth="1"/>
    <col min="15873" max="15873" width="6.1796875" customWidth="1"/>
    <col min="15874" max="15874" width="4.81640625" customWidth="1"/>
    <col min="15875" max="15875" width="12.81640625" bestFit="1" customWidth="1"/>
    <col min="15876" max="15876" width="24.6328125" customWidth="1"/>
    <col min="15877" max="15877" width="4.36328125" customWidth="1"/>
    <col min="15878" max="15878" width="10.08984375" customWidth="1"/>
    <col min="15879" max="15879" width="7.08984375" customWidth="1"/>
    <col min="15880" max="15880" width="10" customWidth="1"/>
    <col min="15881" max="15881" width="6.6328125" customWidth="1"/>
    <col min="15882" max="15882" width="14.90625" customWidth="1"/>
    <col min="15883" max="15883" width="0" hidden="1" customWidth="1"/>
    <col min="15884" max="15884" width="7.81640625" customWidth="1"/>
    <col min="15885" max="15887" width="0" hidden="1" customWidth="1"/>
    <col min="15888" max="15888" width="3.54296875" customWidth="1"/>
    <col min="15889" max="15889" width="14" customWidth="1"/>
    <col min="16129" max="16129" width="6.1796875" customWidth="1"/>
    <col min="16130" max="16130" width="4.81640625" customWidth="1"/>
    <col min="16131" max="16131" width="12.81640625" bestFit="1" customWidth="1"/>
    <col min="16132" max="16132" width="24.6328125" customWidth="1"/>
    <col min="16133" max="16133" width="4.36328125" customWidth="1"/>
    <col min="16134" max="16134" width="10.08984375" customWidth="1"/>
    <col min="16135" max="16135" width="7.08984375" customWidth="1"/>
    <col min="16136" max="16136" width="10" customWidth="1"/>
    <col min="16137" max="16137" width="6.6328125" customWidth="1"/>
    <col min="16138" max="16138" width="14.90625" customWidth="1"/>
    <col min="16139" max="16139" width="0" hidden="1" customWidth="1"/>
    <col min="16140" max="16140" width="7.81640625" customWidth="1"/>
    <col min="16141" max="16143" width="0" hidden="1" customWidth="1"/>
    <col min="16144" max="16144" width="3.54296875" customWidth="1"/>
    <col min="16145" max="16145" width="14" customWidth="1"/>
  </cols>
  <sheetData>
    <row r="1" spans="1:15" ht="38.4" customHeight="1" x14ac:dyDescent="0.35">
      <c r="A1" s="321"/>
      <c r="B1" s="322" t="s">
        <v>0</v>
      </c>
      <c r="C1" s="323" t="s">
        <v>1</v>
      </c>
      <c r="D1" s="324" t="s">
        <v>2</v>
      </c>
      <c r="E1" s="322" t="s">
        <v>3</v>
      </c>
      <c r="F1" s="322" t="s">
        <v>4</v>
      </c>
      <c r="G1" s="325" t="s">
        <v>5</v>
      </c>
      <c r="H1" s="325" t="s">
        <v>6</v>
      </c>
      <c r="I1" s="325" t="s">
        <v>7</v>
      </c>
      <c r="J1" s="322" t="s">
        <v>8</v>
      </c>
      <c r="K1" s="321"/>
      <c r="L1" s="322" t="s">
        <v>9</v>
      </c>
      <c r="M1" s="2"/>
      <c r="N1" s="3"/>
      <c r="O1" s="3" t="s">
        <v>10</v>
      </c>
    </row>
    <row r="2" spans="1:15" ht="15.5" x14ac:dyDescent="0.35">
      <c r="A2" s="4" t="str">
        <f t="shared" ref="A2:A65" si="0">L2&amp;"-"&amp;I2</f>
        <v>1-1</v>
      </c>
      <c r="B2" s="5">
        <v>1</v>
      </c>
      <c r="C2" s="6" t="s">
        <v>11</v>
      </c>
      <c r="D2" s="7" t="s">
        <v>12</v>
      </c>
      <c r="E2" s="8" t="s">
        <v>13</v>
      </c>
      <c r="F2" s="9" t="s">
        <v>14</v>
      </c>
      <c r="G2" s="4">
        <v>1</v>
      </c>
      <c r="H2" s="4" t="str">
        <f t="shared" ref="H2:H65" si="1">F2&amp;"_"&amp;G2</f>
        <v>XI-1_1</v>
      </c>
      <c r="I2" s="4">
        <v>1</v>
      </c>
      <c r="J2" s="4" t="str">
        <f t="shared" ref="J2:J65" si="2">C2&amp;"-"&amp;B2</f>
        <v>0099014595-1</v>
      </c>
      <c r="K2" s="4" t="str">
        <f t="shared" ref="K2:K65" si="3">C2&amp;"-"&amp;B2</f>
        <v>0099014595-1</v>
      </c>
      <c r="L2" s="4">
        <v>1</v>
      </c>
      <c r="M2" s="10"/>
      <c r="N2" s="11"/>
      <c r="O2" s="12">
        <v>1</v>
      </c>
    </row>
    <row r="3" spans="1:15" ht="15.5" x14ac:dyDescent="0.35">
      <c r="A3" s="4" t="str">
        <f t="shared" si="0"/>
        <v>1-2</v>
      </c>
      <c r="B3" s="5">
        <v>2</v>
      </c>
      <c r="C3" s="6" t="s">
        <v>15</v>
      </c>
      <c r="D3" s="7" t="s">
        <v>16</v>
      </c>
      <c r="E3" s="8" t="s">
        <v>13</v>
      </c>
      <c r="F3" s="9" t="s">
        <v>14</v>
      </c>
      <c r="G3" s="4">
        <v>2</v>
      </c>
      <c r="H3" s="4" t="str">
        <f t="shared" si="1"/>
        <v>XI-1_2</v>
      </c>
      <c r="I3" s="4">
        <v>2</v>
      </c>
      <c r="J3" s="4" t="str">
        <f t="shared" si="2"/>
        <v>0081993364-2</v>
      </c>
      <c r="K3" s="4" t="str">
        <f t="shared" si="3"/>
        <v>0081993364-2</v>
      </c>
      <c r="L3" s="4">
        <v>1</v>
      </c>
      <c r="M3" s="13" t="s">
        <v>17</v>
      </c>
      <c r="N3" s="12">
        <f>COUNTIF($E$2:$E$300,"L")</f>
        <v>135</v>
      </c>
      <c r="O3" s="12">
        <v>2</v>
      </c>
    </row>
    <row r="4" spans="1:15" ht="15.5" x14ac:dyDescent="0.35">
      <c r="A4" s="4" t="str">
        <f t="shared" si="0"/>
        <v>1-3</v>
      </c>
      <c r="B4" s="5">
        <v>3</v>
      </c>
      <c r="C4" s="6" t="s">
        <v>18</v>
      </c>
      <c r="D4" s="7" t="s">
        <v>19</v>
      </c>
      <c r="E4" s="8" t="s">
        <v>13</v>
      </c>
      <c r="F4" s="9" t="s">
        <v>14</v>
      </c>
      <c r="G4" s="4">
        <v>3</v>
      </c>
      <c r="H4" s="4" t="str">
        <f t="shared" si="1"/>
        <v>XI-1_3</v>
      </c>
      <c r="I4" s="4">
        <v>3</v>
      </c>
      <c r="J4" s="4" t="str">
        <f t="shared" si="2"/>
        <v>0094085574-3</v>
      </c>
      <c r="K4" s="4" t="str">
        <f t="shared" si="3"/>
        <v>0094085574-3</v>
      </c>
      <c r="L4" s="4">
        <v>1</v>
      </c>
      <c r="M4" s="13" t="s">
        <v>20</v>
      </c>
      <c r="N4" s="12">
        <f>COUNTIF($E$2:$E$300,"P")</f>
        <v>164</v>
      </c>
      <c r="O4" s="12">
        <v>3</v>
      </c>
    </row>
    <row r="5" spans="1:15" ht="15.5" x14ac:dyDescent="0.35">
      <c r="A5" s="4" t="str">
        <f t="shared" si="0"/>
        <v>1-4</v>
      </c>
      <c r="B5" s="5">
        <v>4</v>
      </c>
      <c r="C5" s="6" t="s">
        <v>21</v>
      </c>
      <c r="D5" s="7" t="s">
        <v>22</v>
      </c>
      <c r="E5" s="8" t="s">
        <v>23</v>
      </c>
      <c r="F5" s="9" t="s">
        <v>14</v>
      </c>
      <c r="G5" s="4">
        <v>4</v>
      </c>
      <c r="H5" s="4" t="str">
        <f t="shared" si="1"/>
        <v>XI-1_4</v>
      </c>
      <c r="I5" s="4">
        <v>4</v>
      </c>
      <c r="J5" s="4" t="str">
        <f t="shared" si="2"/>
        <v>0097115127-4</v>
      </c>
      <c r="K5" s="4" t="str">
        <f t="shared" si="3"/>
        <v>0097115127-4</v>
      </c>
      <c r="L5" s="4">
        <v>1</v>
      </c>
      <c r="M5" s="10"/>
      <c r="N5" s="11"/>
      <c r="O5" s="12">
        <v>4</v>
      </c>
    </row>
    <row r="6" spans="1:15" ht="15.5" x14ac:dyDescent="0.35">
      <c r="A6" s="4" t="str">
        <f t="shared" si="0"/>
        <v>1-5</v>
      </c>
      <c r="B6" s="5">
        <v>5</v>
      </c>
      <c r="C6" s="6" t="s">
        <v>24</v>
      </c>
      <c r="D6" s="7" t="s">
        <v>25</v>
      </c>
      <c r="E6" s="8" t="s">
        <v>13</v>
      </c>
      <c r="F6" s="9" t="s">
        <v>14</v>
      </c>
      <c r="G6" s="4">
        <v>5</v>
      </c>
      <c r="H6" s="4" t="str">
        <f t="shared" si="1"/>
        <v>XI-1_5</v>
      </c>
      <c r="I6" s="4">
        <v>5</v>
      </c>
      <c r="J6" s="4" t="str">
        <f t="shared" si="2"/>
        <v>0091942332-5</v>
      </c>
      <c r="K6" s="4" t="str">
        <f t="shared" si="3"/>
        <v>0091942332-5</v>
      </c>
      <c r="L6" s="4">
        <v>1</v>
      </c>
      <c r="M6" s="10"/>
      <c r="N6" s="11"/>
      <c r="O6" s="12">
        <v>5</v>
      </c>
    </row>
    <row r="7" spans="1:15" ht="15.5" x14ac:dyDescent="0.35">
      <c r="A7" s="4" t="str">
        <f t="shared" si="0"/>
        <v>1-6</v>
      </c>
      <c r="B7" s="5">
        <v>6</v>
      </c>
      <c r="C7" s="14" t="s">
        <v>26</v>
      </c>
      <c r="D7" s="15" t="s">
        <v>27</v>
      </c>
      <c r="E7" s="16" t="s">
        <v>13</v>
      </c>
      <c r="F7" s="9" t="s">
        <v>14</v>
      </c>
      <c r="G7" s="4">
        <v>6</v>
      </c>
      <c r="H7" s="4" t="str">
        <f t="shared" si="1"/>
        <v>XI-1_6</v>
      </c>
      <c r="I7" s="4">
        <v>6</v>
      </c>
      <c r="J7" s="4" t="str">
        <f t="shared" si="2"/>
        <v>0098064603-6</v>
      </c>
      <c r="K7" s="4" t="str">
        <f t="shared" si="3"/>
        <v>0098064603-6</v>
      </c>
      <c r="L7" s="4">
        <v>1</v>
      </c>
      <c r="M7" s="10"/>
      <c r="N7" s="11"/>
      <c r="O7" s="12">
        <v>6</v>
      </c>
    </row>
    <row r="8" spans="1:15" ht="15.5" x14ac:dyDescent="0.35">
      <c r="A8" s="4" t="str">
        <f t="shared" si="0"/>
        <v>1-7</v>
      </c>
      <c r="B8" s="5">
        <v>7</v>
      </c>
      <c r="C8" s="14" t="s">
        <v>28</v>
      </c>
      <c r="D8" s="15" t="s">
        <v>29</v>
      </c>
      <c r="E8" s="16" t="s">
        <v>13</v>
      </c>
      <c r="F8" s="9" t="s">
        <v>14</v>
      </c>
      <c r="G8" s="4">
        <v>7</v>
      </c>
      <c r="H8" s="4" t="str">
        <f t="shared" si="1"/>
        <v>XI-1_7</v>
      </c>
      <c r="I8" s="4">
        <v>7</v>
      </c>
      <c r="J8" s="4" t="str">
        <f t="shared" si="2"/>
        <v>0095346378-7</v>
      </c>
      <c r="K8" s="4" t="str">
        <f t="shared" si="3"/>
        <v>0095346378-7</v>
      </c>
      <c r="L8" s="4">
        <v>1</v>
      </c>
      <c r="M8" s="10"/>
      <c r="N8" s="11"/>
      <c r="O8" s="12">
        <v>7</v>
      </c>
    </row>
    <row r="9" spans="1:15" ht="15.5" x14ac:dyDescent="0.35">
      <c r="A9" s="4" t="str">
        <f t="shared" si="0"/>
        <v>1-8</v>
      </c>
      <c r="B9" s="5">
        <v>8</v>
      </c>
      <c r="C9" s="14" t="s">
        <v>30</v>
      </c>
      <c r="D9" s="15" t="s">
        <v>31</v>
      </c>
      <c r="E9" s="16" t="s">
        <v>23</v>
      </c>
      <c r="F9" s="9" t="s">
        <v>14</v>
      </c>
      <c r="G9" s="4">
        <v>8</v>
      </c>
      <c r="H9" s="4" t="str">
        <f t="shared" si="1"/>
        <v>XI-1_8</v>
      </c>
      <c r="I9" s="4">
        <v>8</v>
      </c>
      <c r="J9" s="4" t="str">
        <f t="shared" si="2"/>
        <v>0097919268-8</v>
      </c>
      <c r="K9" s="4" t="str">
        <f t="shared" si="3"/>
        <v>0097919268-8</v>
      </c>
      <c r="L9" s="4">
        <v>1</v>
      </c>
      <c r="M9" s="10"/>
      <c r="N9" s="11"/>
      <c r="O9" s="12">
        <v>8</v>
      </c>
    </row>
    <row r="10" spans="1:15" ht="15.5" x14ac:dyDescent="0.35">
      <c r="A10" s="4" t="str">
        <f t="shared" si="0"/>
        <v>1-9</v>
      </c>
      <c r="B10" s="5">
        <v>9</v>
      </c>
      <c r="C10" s="17" t="s">
        <v>32</v>
      </c>
      <c r="D10" s="18" t="s">
        <v>33</v>
      </c>
      <c r="E10" s="16" t="s">
        <v>13</v>
      </c>
      <c r="F10" s="9" t="s">
        <v>14</v>
      </c>
      <c r="G10" s="4">
        <v>9</v>
      </c>
      <c r="H10" s="4" t="str">
        <f t="shared" si="1"/>
        <v>XI-1_9</v>
      </c>
      <c r="I10" s="4">
        <v>9</v>
      </c>
      <c r="J10" s="4" t="str">
        <f t="shared" si="2"/>
        <v>0092111900-9</v>
      </c>
      <c r="K10" s="4" t="str">
        <f t="shared" si="3"/>
        <v>0092111900-9</v>
      </c>
      <c r="L10" s="4">
        <v>1</v>
      </c>
      <c r="M10" s="10"/>
      <c r="N10" s="11"/>
      <c r="O10" s="12">
        <v>9</v>
      </c>
    </row>
    <row r="11" spans="1:15" ht="15.5" x14ac:dyDescent="0.35">
      <c r="A11" s="4" t="str">
        <f t="shared" si="0"/>
        <v>1-10</v>
      </c>
      <c r="B11" s="5">
        <v>10</v>
      </c>
      <c r="C11" s="14" t="s">
        <v>34</v>
      </c>
      <c r="D11" s="15" t="s">
        <v>35</v>
      </c>
      <c r="E11" s="16" t="s">
        <v>13</v>
      </c>
      <c r="F11" s="9" t="s">
        <v>14</v>
      </c>
      <c r="G11" s="4">
        <v>10</v>
      </c>
      <c r="H11" s="4" t="str">
        <f t="shared" si="1"/>
        <v>XI-1_10</v>
      </c>
      <c r="I11" s="4">
        <v>10</v>
      </c>
      <c r="J11" s="4" t="str">
        <f t="shared" si="2"/>
        <v>0091176900-10</v>
      </c>
      <c r="K11" s="4" t="str">
        <f t="shared" si="3"/>
        <v>0091176900-10</v>
      </c>
      <c r="L11" s="4">
        <v>1</v>
      </c>
      <c r="M11" s="10"/>
      <c r="N11" s="11"/>
      <c r="O11" s="12">
        <v>10</v>
      </c>
    </row>
    <row r="12" spans="1:15" ht="15.5" x14ac:dyDescent="0.35">
      <c r="A12" s="4" t="str">
        <f t="shared" si="0"/>
        <v>1-11</v>
      </c>
      <c r="B12" s="5">
        <v>11</v>
      </c>
      <c r="C12" s="14" t="s">
        <v>36</v>
      </c>
      <c r="D12" s="15" t="s">
        <v>37</v>
      </c>
      <c r="E12" s="16" t="s">
        <v>13</v>
      </c>
      <c r="F12" s="9" t="s">
        <v>14</v>
      </c>
      <c r="G12" s="4">
        <v>11</v>
      </c>
      <c r="H12" s="4" t="str">
        <f t="shared" si="1"/>
        <v>XI-1_11</v>
      </c>
      <c r="I12" s="4">
        <v>11</v>
      </c>
      <c r="J12" s="4" t="str">
        <f t="shared" si="2"/>
        <v>0088776421-11</v>
      </c>
      <c r="K12" s="4" t="str">
        <f t="shared" si="3"/>
        <v>0088776421-11</v>
      </c>
      <c r="L12" s="4">
        <v>1</v>
      </c>
      <c r="M12" s="10"/>
      <c r="N12" s="11"/>
      <c r="O12" s="12">
        <v>11</v>
      </c>
    </row>
    <row r="13" spans="1:15" ht="15.5" x14ac:dyDescent="0.35">
      <c r="A13" s="4" t="str">
        <f t="shared" si="0"/>
        <v>1-12</v>
      </c>
      <c r="B13" s="5">
        <v>12</v>
      </c>
      <c r="C13" s="14" t="s">
        <v>38</v>
      </c>
      <c r="D13" s="15" t="s">
        <v>39</v>
      </c>
      <c r="E13" s="16" t="s">
        <v>13</v>
      </c>
      <c r="F13" s="9" t="s">
        <v>14</v>
      </c>
      <c r="G13" s="4">
        <v>12</v>
      </c>
      <c r="H13" s="4" t="str">
        <f t="shared" si="1"/>
        <v>XI-1_12</v>
      </c>
      <c r="I13" s="4">
        <v>12</v>
      </c>
      <c r="J13" s="4" t="str">
        <f t="shared" si="2"/>
        <v>0083347238-12</v>
      </c>
      <c r="K13" s="4" t="str">
        <f t="shared" si="3"/>
        <v>0083347238-12</v>
      </c>
      <c r="L13" s="4">
        <v>1</v>
      </c>
      <c r="M13" s="10"/>
      <c r="N13" s="11"/>
      <c r="O13" s="12">
        <v>12</v>
      </c>
    </row>
    <row r="14" spans="1:15" ht="15.5" x14ac:dyDescent="0.35">
      <c r="A14" s="4" t="str">
        <f t="shared" si="0"/>
        <v>1-13</v>
      </c>
      <c r="B14" s="5">
        <v>13</v>
      </c>
      <c r="C14" s="14" t="s">
        <v>40</v>
      </c>
      <c r="D14" s="15" t="s">
        <v>41</v>
      </c>
      <c r="E14" s="16" t="s">
        <v>13</v>
      </c>
      <c r="F14" s="9" t="s">
        <v>14</v>
      </c>
      <c r="G14" s="4">
        <v>13</v>
      </c>
      <c r="H14" s="4" t="str">
        <f t="shared" si="1"/>
        <v>XI-1_13</v>
      </c>
      <c r="I14" s="4">
        <v>13</v>
      </c>
      <c r="J14" s="4" t="str">
        <f t="shared" si="2"/>
        <v>0084967087-13</v>
      </c>
      <c r="K14" s="4" t="str">
        <f t="shared" si="3"/>
        <v>0084967087-13</v>
      </c>
      <c r="L14" s="4">
        <v>1</v>
      </c>
      <c r="M14" s="10"/>
      <c r="N14" s="11"/>
      <c r="O14" s="12">
        <v>13</v>
      </c>
    </row>
    <row r="15" spans="1:15" ht="15.5" x14ac:dyDescent="0.35">
      <c r="A15" s="4" t="str">
        <f t="shared" si="0"/>
        <v>1-14</v>
      </c>
      <c r="B15" s="5">
        <v>14</v>
      </c>
      <c r="C15" s="14" t="s">
        <v>42</v>
      </c>
      <c r="D15" s="15" t="s">
        <v>43</v>
      </c>
      <c r="E15" s="16" t="s">
        <v>13</v>
      </c>
      <c r="F15" s="9" t="s">
        <v>14</v>
      </c>
      <c r="G15" s="4">
        <v>14</v>
      </c>
      <c r="H15" s="4" t="str">
        <f t="shared" si="1"/>
        <v>XI-1_14</v>
      </c>
      <c r="I15" s="4">
        <v>14</v>
      </c>
      <c r="J15" s="4" t="str">
        <f t="shared" si="2"/>
        <v>0086939620-14</v>
      </c>
      <c r="K15" s="4" t="str">
        <f t="shared" si="3"/>
        <v>0086939620-14</v>
      </c>
      <c r="L15" s="4">
        <v>1</v>
      </c>
      <c r="M15" s="10"/>
      <c r="N15" s="11"/>
      <c r="O15" s="12">
        <v>14</v>
      </c>
    </row>
    <row r="16" spans="1:15" ht="15.5" x14ac:dyDescent="0.35">
      <c r="A16" s="4" t="str">
        <f t="shared" si="0"/>
        <v>1-15</v>
      </c>
      <c r="B16" s="5">
        <v>15</v>
      </c>
      <c r="C16" s="14" t="s">
        <v>44</v>
      </c>
      <c r="D16" s="15" t="s">
        <v>45</v>
      </c>
      <c r="E16" s="16" t="s">
        <v>23</v>
      </c>
      <c r="F16" s="9" t="s">
        <v>14</v>
      </c>
      <c r="G16" s="4">
        <v>15</v>
      </c>
      <c r="H16" s="4" t="str">
        <f t="shared" si="1"/>
        <v>XI-1_15</v>
      </c>
      <c r="I16" s="4">
        <v>15</v>
      </c>
      <c r="J16" s="4" t="str">
        <f t="shared" si="2"/>
        <v>0095909556-15</v>
      </c>
      <c r="K16" s="4" t="str">
        <f t="shared" si="3"/>
        <v>0095909556-15</v>
      </c>
      <c r="L16" s="4">
        <v>1</v>
      </c>
      <c r="M16" s="10"/>
      <c r="N16" s="11"/>
      <c r="O16" s="12">
        <v>15</v>
      </c>
    </row>
    <row r="17" spans="1:15" ht="15.5" x14ac:dyDescent="0.35">
      <c r="A17" s="4" t="str">
        <f t="shared" si="0"/>
        <v>1-16</v>
      </c>
      <c r="B17" s="5">
        <v>16</v>
      </c>
      <c r="C17" s="14" t="s">
        <v>46</v>
      </c>
      <c r="D17" s="15" t="s">
        <v>47</v>
      </c>
      <c r="E17" s="16" t="s">
        <v>13</v>
      </c>
      <c r="F17" s="9" t="s">
        <v>14</v>
      </c>
      <c r="G17" s="4">
        <v>16</v>
      </c>
      <c r="H17" s="4" t="str">
        <f t="shared" si="1"/>
        <v>XI-1_16</v>
      </c>
      <c r="I17" s="4">
        <v>16</v>
      </c>
      <c r="J17" s="4" t="str">
        <f t="shared" si="2"/>
        <v>0092547814-16</v>
      </c>
      <c r="K17" s="4" t="str">
        <f t="shared" si="3"/>
        <v>0092547814-16</v>
      </c>
      <c r="L17" s="4">
        <v>1</v>
      </c>
      <c r="M17" s="10"/>
      <c r="N17" s="11"/>
      <c r="O17" s="12">
        <v>16</v>
      </c>
    </row>
    <row r="18" spans="1:15" ht="15.5" x14ac:dyDescent="0.35">
      <c r="A18" s="4" t="str">
        <f t="shared" si="0"/>
        <v>2-1</v>
      </c>
      <c r="B18" s="5">
        <v>17</v>
      </c>
      <c r="C18" s="14" t="s">
        <v>48</v>
      </c>
      <c r="D18" s="15" t="s">
        <v>49</v>
      </c>
      <c r="E18" s="16" t="s">
        <v>13</v>
      </c>
      <c r="F18" s="9" t="s">
        <v>14</v>
      </c>
      <c r="G18" s="4">
        <v>17</v>
      </c>
      <c r="H18" s="4" t="str">
        <f t="shared" si="1"/>
        <v>XI-1_17</v>
      </c>
      <c r="I18" s="19">
        <v>1</v>
      </c>
      <c r="J18" s="19" t="str">
        <f t="shared" si="2"/>
        <v>3090562547-17</v>
      </c>
      <c r="K18" s="19" t="str">
        <f t="shared" si="3"/>
        <v>3090562547-17</v>
      </c>
      <c r="L18" s="19">
        <v>2</v>
      </c>
      <c r="M18" s="10"/>
      <c r="N18" s="11"/>
      <c r="O18" s="12">
        <v>17</v>
      </c>
    </row>
    <row r="19" spans="1:15" ht="15.5" x14ac:dyDescent="0.35">
      <c r="A19" s="4" t="str">
        <f t="shared" si="0"/>
        <v>2-2</v>
      </c>
      <c r="B19" s="5">
        <v>18</v>
      </c>
      <c r="C19" s="14" t="s">
        <v>50</v>
      </c>
      <c r="D19" s="15" t="s">
        <v>51</v>
      </c>
      <c r="E19" s="16" t="s">
        <v>23</v>
      </c>
      <c r="F19" s="9" t="s">
        <v>14</v>
      </c>
      <c r="G19" s="4">
        <v>18</v>
      </c>
      <c r="H19" s="4" t="str">
        <f t="shared" si="1"/>
        <v>XI-1_18</v>
      </c>
      <c r="I19" s="19">
        <v>2</v>
      </c>
      <c r="J19" s="19" t="str">
        <f t="shared" si="2"/>
        <v>0081008713-18</v>
      </c>
      <c r="K19" s="19" t="str">
        <f t="shared" si="3"/>
        <v>0081008713-18</v>
      </c>
      <c r="L19" s="19">
        <v>2</v>
      </c>
      <c r="M19" s="10"/>
      <c r="N19" s="11"/>
      <c r="O19" s="12">
        <v>18</v>
      </c>
    </row>
    <row r="20" spans="1:15" ht="15.5" x14ac:dyDescent="0.35">
      <c r="A20" s="4" t="str">
        <f t="shared" si="0"/>
        <v>2-3</v>
      </c>
      <c r="B20" s="5">
        <v>19</v>
      </c>
      <c r="C20" s="14" t="s">
        <v>52</v>
      </c>
      <c r="D20" s="15" t="s">
        <v>53</v>
      </c>
      <c r="E20" s="16" t="s">
        <v>23</v>
      </c>
      <c r="F20" s="9" t="s">
        <v>14</v>
      </c>
      <c r="G20" s="4">
        <v>19</v>
      </c>
      <c r="H20" s="4" t="str">
        <f t="shared" si="1"/>
        <v>XI-1_19</v>
      </c>
      <c r="I20" s="19">
        <v>3</v>
      </c>
      <c r="J20" s="19" t="str">
        <f t="shared" si="2"/>
        <v>0095695341-19</v>
      </c>
      <c r="K20" s="19" t="str">
        <f t="shared" si="3"/>
        <v>0095695341-19</v>
      </c>
      <c r="L20" s="19">
        <v>2</v>
      </c>
      <c r="M20" s="10"/>
      <c r="N20" s="11"/>
      <c r="O20" s="12">
        <v>19</v>
      </c>
    </row>
    <row r="21" spans="1:15" ht="15.5" x14ac:dyDescent="0.35">
      <c r="A21" s="4" t="str">
        <f t="shared" si="0"/>
        <v>2-4</v>
      </c>
      <c r="B21" s="5">
        <v>20</v>
      </c>
      <c r="C21" s="14" t="s">
        <v>54</v>
      </c>
      <c r="D21" s="15" t="s">
        <v>55</v>
      </c>
      <c r="E21" s="16" t="s">
        <v>13</v>
      </c>
      <c r="F21" s="9" t="s">
        <v>14</v>
      </c>
      <c r="G21" s="4">
        <v>20</v>
      </c>
      <c r="H21" s="4" t="str">
        <f t="shared" si="1"/>
        <v>XI-1_20</v>
      </c>
      <c r="I21" s="19">
        <v>4</v>
      </c>
      <c r="J21" s="19" t="str">
        <f t="shared" si="2"/>
        <v>0087209852-20</v>
      </c>
      <c r="K21" s="19" t="str">
        <f t="shared" si="3"/>
        <v>0087209852-20</v>
      </c>
      <c r="L21" s="19">
        <v>2</v>
      </c>
      <c r="M21" s="10"/>
      <c r="N21" s="11"/>
      <c r="O21" s="12">
        <v>20</v>
      </c>
    </row>
    <row r="22" spans="1:15" ht="15.5" x14ac:dyDescent="0.35">
      <c r="A22" s="4" t="str">
        <f t="shared" si="0"/>
        <v>2-5</v>
      </c>
      <c r="B22" s="5">
        <v>21</v>
      </c>
      <c r="C22" s="14" t="s">
        <v>56</v>
      </c>
      <c r="D22" s="15" t="s">
        <v>57</v>
      </c>
      <c r="E22" s="16" t="s">
        <v>13</v>
      </c>
      <c r="F22" s="9" t="s">
        <v>14</v>
      </c>
      <c r="G22" s="4">
        <v>21</v>
      </c>
      <c r="H22" s="4" t="str">
        <f t="shared" si="1"/>
        <v>XI-1_21</v>
      </c>
      <c r="I22" s="19">
        <v>5</v>
      </c>
      <c r="J22" s="19" t="str">
        <f t="shared" si="2"/>
        <v>0081693063-21</v>
      </c>
      <c r="K22" s="19" t="str">
        <f t="shared" si="3"/>
        <v>0081693063-21</v>
      </c>
      <c r="L22" s="19">
        <v>2</v>
      </c>
      <c r="M22" s="10"/>
      <c r="N22" s="11"/>
      <c r="O22" s="12">
        <v>21</v>
      </c>
    </row>
    <row r="23" spans="1:15" ht="15.5" x14ac:dyDescent="0.35">
      <c r="A23" s="4" t="str">
        <f t="shared" si="0"/>
        <v>2-6</v>
      </c>
      <c r="B23" s="5">
        <v>22</v>
      </c>
      <c r="C23" s="14" t="s">
        <v>58</v>
      </c>
      <c r="D23" s="15" t="s">
        <v>59</v>
      </c>
      <c r="E23" s="16" t="s">
        <v>13</v>
      </c>
      <c r="F23" s="9" t="s">
        <v>14</v>
      </c>
      <c r="G23" s="4">
        <v>22</v>
      </c>
      <c r="H23" s="4" t="str">
        <f t="shared" si="1"/>
        <v>XI-1_22</v>
      </c>
      <c r="I23" s="19">
        <v>6</v>
      </c>
      <c r="J23" s="19" t="str">
        <f t="shared" si="2"/>
        <v>0091846909-22</v>
      </c>
      <c r="K23" s="19" t="str">
        <f t="shared" si="3"/>
        <v>0091846909-22</v>
      </c>
      <c r="L23" s="19">
        <v>2</v>
      </c>
      <c r="M23" s="10"/>
      <c r="N23" s="11"/>
      <c r="O23" s="12">
        <v>22</v>
      </c>
    </row>
    <row r="24" spans="1:15" ht="15.5" x14ac:dyDescent="0.35">
      <c r="A24" s="4" t="str">
        <f t="shared" si="0"/>
        <v>2-7</v>
      </c>
      <c r="B24" s="5">
        <v>23</v>
      </c>
      <c r="C24" s="14" t="s">
        <v>60</v>
      </c>
      <c r="D24" s="15" t="s">
        <v>61</v>
      </c>
      <c r="E24" s="16" t="s">
        <v>13</v>
      </c>
      <c r="F24" s="9" t="s">
        <v>14</v>
      </c>
      <c r="G24" s="4">
        <v>23</v>
      </c>
      <c r="H24" s="4" t="str">
        <f t="shared" si="1"/>
        <v>XI-1_23</v>
      </c>
      <c r="I24" s="19">
        <v>7</v>
      </c>
      <c r="J24" s="19" t="str">
        <f t="shared" si="2"/>
        <v>0082173843-23</v>
      </c>
      <c r="K24" s="19" t="str">
        <f t="shared" si="3"/>
        <v>0082173843-23</v>
      </c>
      <c r="L24" s="19">
        <v>2</v>
      </c>
      <c r="M24" s="10"/>
      <c r="N24" s="11"/>
      <c r="O24" s="12">
        <v>23</v>
      </c>
    </row>
    <row r="25" spans="1:15" ht="15.5" x14ac:dyDescent="0.35">
      <c r="A25" s="4" t="str">
        <f t="shared" si="0"/>
        <v>2-8</v>
      </c>
      <c r="B25" s="5">
        <v>24</v>
      </c>
      <c r="C25" s="14" t="s">
        <v>62</v>
      </c>
      <c r="D25" s="15" t="s">
        <v>63</v>
      </c>
      <c r="E25" s="16" t="s">
        <v>23</v>
      </c>
      <c r="F25" s="9" t="s">
        <v>14</v>
      </c>
      <c r="G25" s="4">
        <v>24</v>
      </c>
      <c r="H25" s="4" t="str">
        <f t="shared" si="1"/>
        <v>XI-1_24</v>
      </c>
      <c r="I25" s="19">
        <v>8</v>
      </c>
      <c r="J25" s="19" t="str">
        <f t="shared" si="2"/>
        <v>0084733595-24</v>
      </c>
      <c r="K25" s="19" t="str">
        <f t="shared" si="3"/>
        <v>0084733595-24</v>
      </c>
      <c r="L25" s="19">
        <v>2</v>
      </c>
      <c r="M25" s="10"/>
      <c r="N25" s="11"/>
      <c r="O25" s="12">
        <v>24</v>
      </c>
    </row>
    <row r="26" spans="1:15" ht="15.5" x14ac:dyDescent="0.35">
      <c r="A26" s="4" t="str">
        <f t="shared" si="0"/>
        <v>2-9</v>
      </c>
      <c r="B26" s="5">
        <v>25</v>
      </c>
      <c r="C26" s="14" t="s">
        <v>64</v>
      </c>
      <c r="D26" s="15" t="s">
        <v>65</v>
      </c>
      <c r="E26" s="16" t="s">
        <v>13</v>
      </c>
      <c r="F26" s="9" t="s">
        <v>14</v>
      </c>
      <c r="G26" s="4">
        <v>25</v>
      </c>
      <c r="H26" s="4" t="str">
        <f t="shared" si="1"/>
        <v>XI-1_25</v>
      </c>
      <c r="I26" s="19">
        <v>9</v>
      </c>
      <c r="J26" s="19" t="str">
        <f t="shared" si="2"/>
        <v>0093434244-25</v>
      </c>
      <c r="K26" s="19" t="str">
        <f t="shared" si="3"/>
        <v>0093434244-25</v>
      </c>
      <c r="L26" s="19">
        <v>2</v>
      </c>
      <c r="M26" s="10"/>
      <c r="N26" s="11"/>
      <c r="O26" s="12">
        <v>25</v>
      </c>
    </row>
    <row r="27" spans="1:15" ht="15.5" x14ac:dyDescent="0.35">
      <c r="A27" s="4" t="str">
        <f t="shared" si="0"/>
        <v>2-10</v>
      </c>
      <c r="B27" s="5">
        <v>26</v>
      </c>
      <c r="C27" s="14" t="s">
        <v>66</v>
      </c>
      <c r="D27" s="15" t="s">
        <v>67</v>
      </c>
      <c r="E27" s="16" t="s">
        <v>13</v>
      </c>
      <c r="F27" s="9" t="s">
        <v>14</v>
      </c>
      <c r="G27" s="4">
        <v>26</v>
      </c>
      <c r="H27" s="4" t="str">
        <f t="shared" si="1"/>
        <v>XI-1_26</v>
      </c>
      <c r="I27" s="19">
        <v>10</v>
      </c>
      <c r="J27" s="19" t="str">
        <f t="shared" si="2"/>
        <v>0085093634-26</v>
      </c>
      <c r="K27" s="19" t="str">
        <f t="shared" si="3"/>
        <v>0085093634-26</v>
      </c>
      <c r="L27" s="19">
        <v>2</v>
      </c>
      <c r="M27" s="10"/>
      <c r="N27" s="11"/>
      <c r="O27" s="12">
        <v>26</v>
      </c>
    </row>
    <row r="28" spans="1:15" ht="15.5" x14ac:dyDescent="0.35">
      <c r="A28" s="4" t="str">
        <f t="shared" si="0"/>
        <v>2-11</v>
      </c>
      <c r="B28" s="5">
        <v>27</v>
      </c>
      <c r="C28" s="14" t="s">
        <v>68</v>
      </c>
      <c r="D28" s="15" t="s">
        <v>69</v>
      </c>
      <c r="E28" s="16" t="s">
        <v>13</v>
      </c>
      <c r="F28" s="9" t="s">
        <v>14</v>
      </c>
      <c r="G28" s="4">
        <v>27</v>
      </c>
      <c r="H28" s="4" t="str">
        <f t="shared" si="1"/>
        <v>XI-1_27</v>
      </c>
      <c r="I28" s="19">
        <v>11</v>
      </c>
      <c r="J28" s="19" t="str">
        <f t="shared" si="2"/>
        <v>0082531641-27</v>
      </c>
      <c r="K28" s="19" t="str">
        <f t="shared" si="3"/>
        <v>0082531641-27</v>
      </c>
      <c r="L28" s="19">
        <v>2</v>
      </c>
      <c r="M28" s="10"/>
      <c r="N28" s="11"/>
      <c r="O28" s="12">
        <v>27</v>
      </c>
    </row>
    <row r="29" spans="1:15" ht="15.5" x14ac:dyDescent="0.35">
      <c r="A29" s="4" t="str">
        <f t="shared" si="0"/>
        <v>2-12</v>
      </c>
      <c r="B29" s="5">
        <v>28</v>
      </c>
      <c r="C29" s="14" t="s">
        <v>70</v>
      </c>
      <c r="D29" s="15" t="s">
        <v>71</v>
      </c>
      <c r="E29" s="16" t="s">
        <v>13</v>
      </c>
      <c r="F29" s="9" t="s">
        <v>14</v>
      </c>
      <c r="G29" s="4">
        <v>28</v>
      </c>
      <c r="H29" s="4" t="str">
        <f t="shared" si="1"/>
        <v>XI-1_28</v>
      </c>
      <c r="I29" s="19">
        <v>12</v>
      </c>
      <c r="J29" s="19" t="str">
        <f t="shared" si="2"/>
        <v>0086700297-28</v>
      </c>
      <c r="K29" s="19" t="str">
        <f t="shared" si="3"/>
        <v>0086700297-28</v>
      </c>
      <c r="L29" s="19">
        <v>2</v>
      </c>
      <c r="M29" s="10"/>
      <c r="N29" s="11"/>
      <c r="O29" s="12">
        <v>28</v>
      </c>
    </row>
    <row r="30" spans="1:15" ht="15.5" x14ac:dyDescent="0.35">
      <c r="A30" s="4" t="str">
        <f t="shared" si="0"/>
        <v>2-13</v>
      </c>
      <c r="B30" s="5">
        <v>29</v>
      </c>
      <c r="C30" s="14" t="s">
        <v>72</v>
      </c>
      <c r="D30" s="15" t="s">
        <v>73</v>
      </c>
      <c r="E30" s="16" t="s">
        <v>23</v>
      </c>
      <c r="F30" s="9" t="s">
        <v>14</v>
      </c>
      <c r="G30" s="4">
        <v>29</v>
      </c>
      <c r="H30" s="4" t="str">
        <f t="shared" si="1"/>
        <v>XI-1_29</v>
      </c>
      <c r="I30" s="19">
        <v>13</v>
      </c>
      <c r="J30" s="19" t="str">
        <f t="shared" si="2"/>
        <v>3083075979-29</v>
      </c>
      <c r="K30" s="19" t="str">
        <f t="shared" si="3"/>
        <v>3083075979-29</v>
      </c>
      <c r="L30" s="19">
        <v>2</v>
      </c>
      <c r="M30" s="10"/>
      <c r="N30" s="11"/>
      <c r="O30" s="12">
        <v>29</v>
      </c>
    </row>
    <row r="31" spans="1:15" ht="15.5" x14ac:dyDescent="0.35">
      <c r="A31" s="4" t="str">
        <f t="shared" si="0"/>
        <v>2-14</v>
      </c>
      <c r="B31" s="5">
        <v>30</v>
      </c>
      <c r="C31" s="14" t="s">
        <v>74</v>
      </c>
      <c r="D31" s="15" t="s">
        <v>75</v>
      </c>
      <c r="E31" s="16" t="s">
        <v>23</v>
      </c>
      <c r="F31" s="9" t="s">
        <v>14</v>
      </c>
      <c r="G31" s="4">
        <v>30</v>
      </c>
      <c r="H31" s="4" t="str">
        <f t="shared" si="1"/>
        <v>XI-1_30</v>
      </c>
      <c r="I31" s="19">
        <v>14</v>
      </c>
      <c r="J31" s="19" t="str">
        <f t="shared" si="2"/>
        <v>0085290305-30</v>
      </c>
      <c r="K31" s="19" t="str">
        <f t="shared" si="3"/>
        <v>0085290305-30</v>
      </c>
      <c r="L31" s="19">
        <v>2</v>
      </c>
      <c r="M31" s="10"/>
      <c r="N31" s="11"/>
      <c r="O31" s="12">
        <v>30</v>
      </c>
    </row>
    <row r="32" spans="1:15" ht="15.5" x14ac:dyDescent="0.35">
      <c r="A32" s="4" t="str">
        <f t="shared" si="0"/>
        <v>2-15</v>
      </c>
      <c r="B32" s="5">
        <v>31</v>
      </c>
      <c r="C32" s="14" t="s">
        <v>76</v>
      </c>
      <c r="D32" s="15" t="s">
        <v>77</v>
      </c>
      <c r="E32" s="16" t="s">
        <v>23</v>
      </c>
      <c r="F32" s="9" t="s">
        <v>14</v>
      </c>
      <c r="G32" s="4">
        <v>31</v>
      </c>
      <c r="H32" s="4" t="str">
        <f t="shared" si="1"/>
        <v>XI-1_31</v>
      </c>
      <c r="I32" s="19">
        <v>15</v>
      </c>
      <c r="J32" s="19" t="str">
        <f t="shared" si="2"/>
        <v>0099871030-31</v>
      </c>
      <c r="K32" s="19" t="str">
        <f t="shared" si="3"/>
        <v>0099871030-31</v>
      </c>
      <c r="L32" s="19">
        <v>2</v>
      </c>
      <c r="M32" s="10"/>
      <c r="N32" s="11"/>
      <c r="O32" s="12">
        <v>31</v>
      </c>
    </row>
    <row r="33" spans="1:15" ht="15.5" x14ac:dyDescent="0.35">
      <c r="A33" s="4" t="str">
        <f t="shared" si="0"/>
        <v>2-16</v>
      </c>
      <c r="B33" s="5">
        <v>32</v>
      </c>
      <c r="C33" s="14" t="s">
        <v>78</v>
      </c>
      <c r="D33" s="15" t="s">
        <v>79</v>
      </c>
      <c r="E33" s="16" t="s">
        <v>13</v>
      </c>
      <c r="F33" s="9" t="s">
        <v>14</v>
      </c>
      <c r="G33" s="4">
        <v>32</v>
      </c>
      <c r="H33" s="4" t="str">
        <f t="shared" si="1"/>
        <v>XI-1_32</v>
      </c>
      <c r="I33" s="19">
        <v>16</v>
      </c>
      <c r="J33" s="19" t="str">
        <f t="shared" si="2"/>
        <v>0088673834-32</v>
      </c>
      <c r="K33" s="19" t="str">
        <f t="shared" si="3"/>
        <v>0088673834-32</v>
      </c>
      <c r="L33" s="19">
        <v>2</v>
      </c>
      <c r="M33" s="10"/>
      <c r="N33" s="11"/>
      <c r="O33" s="12">
        <v>32</v>
      </c>
    </row>
    <row r="34" spans="1:15" ht="15.5" x14ac:dyDescent="0.35">
      <c r="A34" s="4" t="str">
        <f t="shared" si="0"/>
        <v>3-1</v>
      </c>
      <c r="B34" s="5">
        <v>33</v>
      </c>
      <c r="C34" s="14" t="s">
        <v>80</v>
      </c>
      <c r="D34" s="15" t="s">
        <v>81</v>
      </c>
      <c r="E34" s="16" t="s">
        <v>13</v>
      </c>
      <c r="F34" s="9" t="s">
        <v>14</v>
      </c>
      <c r="G34" s="4">
        <v>33</v>
      </c>
      <c r="H34" s="4" t="str">
        <f t="shared" si="1"/>
        <v>XI-1_33</v>
      </c>
      <c r="I34" s="4">
        <v>1</v>
      </c>
      <c r="J34" s="4" t="str">
        <f t="shared" si="2"/>
        <v>0086419838-33</v>
      </c>
      <c r="K34" s="4" t="str">
        <f t="shared" si="3"/>
        <v>0086419838-33</v>
      </c>
      <c r="L34" s="4">
        <v>3</v>
      </c>
      <c r="M34" s="10"/>
      <c r="N34" s="11"/>
      <c r="O34" s="12">
        <v>33</v>
      </c>
    </row>
    <row r="35" spans="1:15" ht="15.5" x14ac:dyDescent="0.35">
      <c r="A35" s="4" t="str">
        <f t="shared" si="0"/>
        <v>3-2</v>
      </c>
      <c r="B35" s="5">
        <v>34</v>
      </c>
      <c r="C35" s="14" t="s">
        <v>82</v>
      </c>
      <c r="D35" s="15" t="s">
        <v>83</v>
      </c>
      <c r="E35" s="16" t="s">
        <v>13</v>
      </c>
      <c r="F35" s="9" t="s">
        <v>14</v>
      </c>
      <c r="G35" s="4">
        <v>34</v>
      </c>
      <c r="H35" s="4" t="str">
        <f t="shared" si="1"/>
        <v>XI-1_34</v>
      </c>
      <c r="I35" s="4">
        <v>2</v>
      </c>
      <c r="J35" s="4" t="str">
        <f t="shared" si="2"/>
        <v>0095173032-34</v>
      </c>
      <c r="K35" s="4" t="str">
        <f t="shared" si="3"/>
        <v>0095173032-34</v>
      </c>
      <c r="L35" s="4">
        <v>3</v>
      </c>
      <c r="M35" s="10"/>
      <c r="N35" s="11"/>
      <c r="O35" s="12">
        <v>34</v>
      </c>
    </row>
    <row r="36" spans="1:15" x14ac:dyDescent="0.35">
      <c r="A36" s="4" t="str">
        <f t="shared" si="0"/>
        <v>3-3</v>
      </c>
      <c r="B36" s="5">
        <v>35</v>
      </c>
      <c r="C36" s="20" t="s">
        <v>84</v>
      </c>
      <c r="D36" s="21" t="s">
        <v>85</v>
      </c>
      <c r="E36" s="22" t="s">
        <v>13</v>
      </c>
      <c r="F36" s="9" t="s">
        <v>14</v>
      </c>
      <c r="G36" s="4">
        <v>35</v>
      </c>
      <c r="H36" s="4" t="str">
        <f t="shared" si="1"/>
        <v>XI-1_35</v>
      </c>
      <c r="I36" s="4">
        <v>3</v>
      </c>
      <c r="J36" s="4" t="str">
        <f t="shared" si="2"/>
        <v>0085415105-35</v>
      </c>
      <c r="K36" s="4" t="str">
        <f t="shared" si="3"/>
        <v>0085415105-35</v>
      </c>
      <c r="L36" s="4">
        <v>3</v>
      </c>
      <c r="M36" s="10"/>
      <c r="N36" s="11"/>
      <c r="O36" s="12">
        <v>35</v>
      </c>
    </row>
    <row r="37" spans="1:15" x14ac:dyDescent="0.35">
      <c r="A37" s="4" t="str">
        <f t="shared" si="0"/>
        <v>3-4</v>
      </c>
      <c r="B37" s="5">
        <v>36</v>
      </c>
      <c r="C37" s="23" t="s">
        <v>86</v>
      </c>
      <c r="D37" s="24" t="s">
        <v>87</v>
      </c>
      <c r="E37" s="25" t="s">
        <v>23</v>
      </c>
      <c r="F37" s="9" t="s">
        <v>14</v>
      </c>
      <c r="G37" s="4">
        <v>36</v>
      </c>
      <c r="H37" s="4" t="str">
        <f t="shared" si="1"/>
        <v>XI-1_36</v>
      </c>
      <c r="I37" s="4">
        <v>4</v>
      </c>
      <c r="J37" s="4" t="str">
        <f t="shared" si="2"/>
        <v>0088295912-36</v>
      </c>
      <c r="K37" s="4" t="str">
        <f t="shared" si="3"/>
        <v>0088295912-36</v>
      </c>
      <c r="L37" s="4">
        <v>3</v>
      </c>
      <c r="M37" s="10"/>
      <c r="N37" s="11"/>
      <c r="O37" s="12">
        <v>36</v>
      </c>
    </row>
    <row r="38" spans="1:15" ht="15.5" x14ac:dyDescent="0.35">
      <c r="A38" s="1" t="str">
        <f t="shared" si="0"/>
        <v>3-5</v>
      </c>
      <c r="B38" s="26">
        <v>37</v>
      </c>
      <c r="C38" s="27" t="s">
        <v>88</v>
      </c>
      <c r="D38" s="28" t="s">
        <v>89</v>
      </c>
      <c r="E38" s="29" t="s">
        <v>13</v>
      </c>
      <c r="F38" s="30" t="s">
        <v>90</v>
      </c>
      <c r="G38" s="31">
        <v>1</v>
      </c>
      <c r="H38" s="31" t="str">
        <f t="shared" si="1"/>
        <v>XI-2_1</v>
      </c>
      <c r="I38" s="4">
        <v>5</v>
      </c>
      <c r="J38" s="32" t="str">
        <f t="shared" si="2"/>
        <v>0093902087-37</v>
      </c>
      <c r="K38" s="32" t="str">
        <f t="shared" si="3"/>
        <v>0093902087-37</v>
      </c>
      <c r="L38" s="32">
        <v>3</v>
      </c>
      <c r="M38" s="33"/>
      <c r="N38" s="34"/>
      <c r="O38" s="35">
        <v>37</v>
      </c>
    </row>
    <row r="39" spans="1:15" ht="15.5" x14ac:dyDescent="0.35">
      <c r="A39" s="1" t="str">
        <f t="shared" si="0"/>
        <v>3-6</v>
      </c>
      <c r="B39" s="26">
        <v>38</v>
      </c>
      <c r="C39" s="27" t="s">
        <v>91</v>
      </c>
      <c r="D39" s="28" t="s">
        <v>92</v>
      </c>
      <c r="E39" s="29" t="s">
        <v>13</v>
      </c>
      <c r="F39" s="30" t="s">
        <v>90</v>
      </c>
      <c r="G39" s="31">
        <v>2</v>
      </c>
      <c r="H39" s="31" t="str">
        <f t="shared" si="1"/>
        <v>XI-2_2</v>
      </c>
      <c r="I39" s="4">
        <v>6</v>
      </c>
      <c r="J39" s="32" t="str">
        <f t="shared" si="2"/>
        <v>0095788703-38</v>
      </c>
      <c r="K39" s="32" t="str">
        <f t="shared" si="3"/>
        <v>0095788703-38</v>
      </c>
      <c r="L39" s="32">
        <v>3</v>
      </c>
      <c r="M39" s="33"/>
      <c r="N39" s="34"/>
      <c r="O39" s="36">
        <v>38</v>
      </c>
    </row>
    <row r="40" spans="1:15" ht="15.5" x14ac:dyDescent="0.35">
      <c r="A40" s="1" t="str">
        <f t="shared" si="0"/>
        <v>3-7</v>
      </c>
      <c r="B40" s="26">
        <v>39</v>
      </c>
      <c r="C40" s="27" t="s">
        <v>93</v>
      </c>
      <c r="D40" s="28" t="s">
        <v>94</v>
      </c>
      <c r="E40" s="29" t="s">
        <v>13</v>
      </c>
      <c r="F40" s="30" t="s">
        <v>90</v>
      </c>
      <c r="G40" s="31">
        <v>3</v>
      </c>
      <c r="H40" s="31" t="str">
        <f t="shared" si="1"/>
        <v>XI-2_3</v>
      </c>
      <c r="I40" s="4">
        <v>7</v>
      </c>
      <c r="J40" s="32" t="str">
        <f t="shared" si="2"/>
        <v>0085709234-39</v>
      </c>
      <c r="K40" s="32" t="str">
        <f t="shared" si="3"/>
        <v>0085709234-39</v>
      </c>
      <c r="L40" s="32">
        <v>3</v>
      </c>
      <c r="M40" s="33"/>
      <c r="N40" s="34"/>
      <c r="O40" s="36">
        <v>39</v>
      </c>
    </row>
    <row r="41" spans="1:15" ht="15.5" x14ac:dyDescent="0.35">
      <c r="A41" s="1" t="str">
        <f t="shared" si="0"/>
        <v>3-8</v>
      </c>
      <c r="B41" s="26">
        <v>40</v>
      </c>
      <c r="C41" s="27" t="s">
        <v>95</v>
      </c>
      <c r="D41" s="28" t="s">
        <v>96</v>
      </c>
      <c r="E41" s="29" t="s">
        <v>13</v>
      </c>
      <c r="F41" s="30" t="s">
        <v>90</v>
      </c>
      <c r="G41" s="31">
        <v>4</v>
      </c>
      <c r="H41" s="31" t="str">
        <f t="shared" si="1"/>
        <v>XI-2_4</v>
      </c>
      <c r="I41" s="4">
        <v>8</v>
      </c>
      <c r="J41" s="32" t="str">
        <f t="shared" si="2"/>
        <v>0097606503-40</v>
      </c>
      <c r="K41" s="32" t="str">
        <f t="shared" si="3"/>
        <v>0097606503-40</v>
      </c>
      <c r="L41" s="32">
        <v>3</v>
      </c>
      <c r="M41" s="33"/>
      <c r="N41" s="34"/>
      <c r="O41" s="35">
        <v>40</v>
      </c>
    </row>
    <row r="42" spans="1:15" ht="15.5" x14ac:dyDescent="0.35">
      <c r="A42" s="1" t="str">
        <f t="shared" si="0"/>
        <v>3-9</v>
      </c>
      <c r="B42" s="26">
        <v>41</v>
      </c>
      <c r="C42" s="27" t="s">
        <v>97</v>
      </c>
      <c r="D42" s="28" t="s">
        <v>98</v>
      </c>
      <c r="E42" s="29" t="s">
        <v>23</v>
      </c>
      <c r="F42" s="30" t="s">
        <v>90</v>
      </c>
      <c r="G42" s="31">
        <v>5</v>
      </c>
      <c r="H42" s="31" t="str">
        <f t="shared" si="1"/>
        <v>XI-2_5</v>
      </c>
      <c r="I42" s="4">
        <v>9</v>
      </c>
      <c r="J42" s="32" t="str">
        <f t="shared" si="2"/>
        <v>0097513077-41</v>
      </c>
      <c r="K42" s="32" t="str">
        <f t="shared" si="3"/>
        <v>0097513077-41</v>
      </c>
      <c r="L42" s="32">
        <v>3</v>
      </c>
      <c r="M42" s="33"/>
      <c r="N42" s="34"/>
      <c r="O42" s="36">
        <v>41</v>
      </c>
    </row>
    <row r="43" spans="1:15" ht="15.5" x14ac:dyDescent="0.35">
      <c r="A43" s="1" t="str">
        <f t="shared" si="0"/>
        <v>3-10</v>
      </c>
      <c r="B43" s="26">
        <v>42</v>
      </c>
      <c r="C43" s="37" t="s">
        <v>99</v>
      </c>
      <c r="D43" s="38" t="s">
        <v>100</v>
      </c>
      <c r="E43" s="39" t="s">
        <v>13</v>
      </c>
      <c r="F43" s="30" t="s">
        <v>90</v>
      </c>
      <c r="G43" s="31">
        <v>6</v>
      </c>
      <c r="H43" s="31" t="str">
        <f t="shared" si="1"/>
        <v>XI-2_6</v>
      </c>
      <c r="I43" s="4">
        <v>10</v>
      </c>
      <c r="J43" s="32" t="str">
        <f t="shared" si="2"/>
        <v>0098587223-42</v>
      </c>
      <c r="K43" s="32" t="str">
        <f t="shared" si="3"/>
        <v>0098587223-42</v>
      </c>
      <c r="L43" s="32">
        <v>3</v>
      </c>
      <c r="M43" s="33"/>
      <c r="N43" s="34"/>
      <c r="O43" s="36">
        <v>42</v>
      </c>
    </row>
    <row r="44" spans="1:15" ht="15.5" x14ac:dyDescent="0.35">
      <c r="A44" s="1" t="str">
        <f t="shared" si="0"/>
        <v>3-11</v>
      </c>
      <c r="B44" s="26">
        <v>43</v>
      </c>
      <c r="C44" s="37" t="s">
        <v>101</v>
      </c>
      <c r="D44" s="38" t="s">
        <v>102</v>
      </c>
      <c r="E44" s="39" t="s">
        <v>13</v>
      </c>
      <c r="F44" s="30" t="s">
        <v>90</v>
      </c>
      <c r="G44" s="31">
        <v>7</v>
      </c>
      <c r="H44" s="31" t="str">
        <f t="shared" si="1"/>
        <v>XI-2_7</v>
      </c>
      <c r="I44" s="4">
        <v>11</v>
      </c>
      <c r="J44" s="32" t="str">
        <f t="shared" si="2"/>
        <v>0092966349-43</v>
      </c>
      <c r="K44" s="32" t="str">
        <f t="shared" si="3"/>
        <v>0092966349-43</v>
      </c>
      <c r="L44" s="32">
        <v>3</v>
      </c>
      <c r="M44" s="33"/>
      <c r="N44" s="34"/>
      <c r="O44" s="35">
        <v>43</v>
      </c>
    </row>
    <row r="45" spans="1:15" ht="15.5" x14ac:dyDescent="0.35">
      <c r="A45" s="1" t="str">
        <f t="shared" si="0"/>
        <v>3-12</v>
      </c>
      <c r="B45" s="26">
        <v>44</v>
      </c>
      <c r="C45" s="37" t="s">
        <v>103</v>
      </c>
      <c r="D45" s="38" t="s">
        <v>104</v>
      </c>
      <c r="E45" s="39" t="s">
        <v>13</v>
      </c>
      <c r="F45" s="40" t="s">
        <v>90</v>
      </c>
      <c r="G45" s="19">
        <v>8</v>
      </c>
      <c r="H45" s="19" t="str">
        <f t="shared" si="1"/>
        <v>XI-2_8</v>
      </c>
      <c r="I45" s="4">
        <v>12</v>
      </c>
      <c r="J45" s="32" t="str">
        <f t="shared" si="2"/>
        <v>0094492290-44</v>
      </c>
      <c r="K45" s="32" t="str">
        <f t="shared" si="3"/>
        <v>0094492290-44</v>
      </c>
      <c r="L45" s="32">
        <v>3</v>
      </c>
      <c r="M45" s="33"/>
      <c r="N45" s="34"/>
      <c r="O45" s="36">
        <v>44</v>
      </c>
    </row>
    <row r="46" spans="1:15" ht="15.5" x14ac:dyDescent="0.35">
      <c r="A46" s="1" t="str">
        <f t="shared" si="0"/>
        <v>3-13</v>
      </c>
      <c r="B46" s="26">
        <v>45</v>
      </c>
      <c r="C46" s="41" t="s">
        <v>105</v>
      </c>
      <c r="D46" s="42" t="s">
        <v>106</v>
      </c>
      <c r="E46" s="43" t="s">
        <v>23</v>
      </c>
      <c r="F46" s="30" t="s">
        <v>90</v>
      </c>
      <c r="G46" s="31">
        <v>9</v>
      </c>
      <c r="H46" s="31" t="str">
        <f t="shared" si="1"/>
        <v>XI-2_9</v>
      </c>
      <c r="I46" s="4">
        <v>13</v>
      </c>
      <c r="J46" s="32" t="str">
        <f t="shared" si="2"/>
        <v>0084445475-45</v>
      </c>
      <c r="K46" s="32" t="str">
        <f t="shared" si="3"/>
        <v>0084445475-45</v>
      </c>
      <c r="L46" s="32">
        <v>3</v>
      </c>
      <c r="M46" s="33"/>
      <c r="N46" s="34"/>
      <c r="O46" s="36">
        <v>45</v>
      </c>
    </row>
    <row r="47" spans="1:15" ht="15.5" x14ac:dyDescent="0.35">
      <c r="A47" s="1" t="str">
        <f t="shared" si="0"/>
        <v>3-14</v>
      </c>
      <c r="B47" s="26">
        <v>46</v>
      </c>
      <c r="C47" s="41" t="s">
        <v>107</v>
      </c>
      <c r="D47" s="44" t="s">
        <v>108</v>
      </c>
      <c r="E47" s="39" t="s">
        <v>13</v>
      </c>
      <c r="F47" s="30" t="s">
        <v>90</v>
      </c>
      <c r="G47" s="31">
        <v>10</v>
      </c>
      <c r="H47" s="31" t="str">
        <f t="shared" si="1"/>
        <v>XI-2_10</v>
      </c>
      <c r="I47" s="4">
        <v>14</v>
      </c>
      <c r="J47" s="32" t="str">
        <f t="shared" si="2"/>
        <v>0099796709-46</v>
      </c>
      <c r="K47" s="32" t="str">
        <f t="shared" si="3"/>
        <v>0099796709-46</v>
      </c>
      <c r="L47" s="32">
        <v>3</v>
      </c>
      <c r="M47" s="33"/>
      <c r="N47" s="34"/>
      <c r="O47" s="35">
        <v>46</v>
      </c>
    </row>
    <row r="48" spans="1:15" ht="15.5" x14ac:dyDescent="0.35">
      <c r="A48" s="1" t="str">
        <f t="shared" si="0"/>
        <v>3-15</v>
      </c>
      <c r="B48" s="26">
        <v>47</v>
      </c>
      <c r="C48" s="37" t="s">
        <v>109</v>
      </c>
      <c r="D48" s="38" t="s">
        <v>110</v>
      </c>
      <c r="E48" s="39" t="s">
        <v>23</v>
      </c>
      <c r="F48" s="30" t="s">
        <v>90</v>
      </c>
      <c r="G48" s="31">
        <v>11</v>
      </c>
      <c r="H48" s="31" t="str">
        <f t="shared" si="1"/>
        <v>XI-2_11</v>
      </c>
      <c r="I48" s="4">
        <v>15</v>
      </c>
      <c r="J48" s="32" t="str">
        <f t="shared" si="2"/>
        <v>0082389823-47</v>
      </c>
      <c r="K48" s="32" t="str">
        <f t="shared" si="3"/>
        <v>0082389823-47</v>
      </c>
      <c r="L48" s="32">
        <v>3</v>
      </c>
      <c r="M48" s="33"/>
      <c r="N48" s="34"/>
      <c r="O48" s="36">
        <v>47</v>
      </c>
    </row>
    <row r="49" spans="1:15" ht="15.5" x14ac:dyDescent="0.35">
      <c r="A49" s="1" t="str">
        <f t="shared" si="0"/>
        <v>3-16</v>
      </c>
      <c r="B49" s="26">
        <v>48</v>
      </c>
      <c r="C49" s="37" t="s">
        <v>111</v>
      </c>
      <c r="D49" s="38" t="s">
        <v>112</v>
      </c>
      <c r="E49" s="39" t="s">
        <v>13</v>
      </c>
      <c r="F49" s="40" t="s">
        <v>90</v>
      </c>
      <c r="G49" s="31">
        <v>12</v>
      </c>
      <c r="H49" s="31" t="str">
        <f t="shared" si="1"/>
        <v>XI-2_12</v>
      </c>
      <c r="I49" s="4">
        <v>16</v>
      </c>
      <c r="J49" s="32" t="str">
        <f t="shared" si="2"/>
        <v>0086362881-48</v>
      </c>
      <c r="K49" s="32" t="str">
        <f t="shared" si="3"/>
        <v>0086362881-48</v>
      </c>
      <c r="L49" s="32">
        <v>3</v>
      </c>
      <c r="M49" s="33"/>
      <c r="N49" s="34"/>
      <c r="O49" s="36">
        <v>48</v>
      </c>
    </row>
    <row r="50" spans="1:15" ht="15.5" x14ac:dyDescent="0.35">
      <c r="A50" s="1" t="str">
        <f t="shared" si="0"/>
        <v>4-1</v>
      </c>
      <c r="B50" s="26">
        <v>49</v>
      </c>
      <c r="C50" s="37" t="s">
        <v>113</v>
      </c>
      <c r="D50" s="38" t="s">
        <v>114</v>
      </c>
      <c r="E50" s="39" t="s">
        <v>13</v>
      </c>
      <c r="F50" s="30" t="s">
        <v>90</v>
      </c>
      <c r="G50" s="31">
        <v>13</v>
      </c>
      <c r="H50" s="31" t="str">
        <f t="shared" si="1"/>
        <v>XI-2_13</v>
      </c>
      <c r="I50" s="31">
        <v>1</v>
      </c>
      <c r="J50" s="31" t="str">
        <f t="shared" si="2"/>
        <v>0091453831-49</v>
      </c>
      <c r="K50" s="31" t="str">
        <f t="shared" si="3"/>
        <v>0091453831-49</v>
      </c>
      <c r="L50" s="31">
        <v>4</v>
      </c>
      <c r="M50" s="33"/>
      <c r="N50" s="34"/>
      <c r="O50" s="35">
        <v>49</v>
      </c>
    </row>
    <row r="51" spans="1:15" ht="15.5" x14ac:dyDescent="0.35">
      <c r="A51" s="1" t="str">
        <f t="shared" si="0"/>
        <v>4-2</v>
      </c>
      <c r="B51" s="26">
        <v>50</v>
      </c>
      <c r="C51" s="37" t="s">
        <v>115</v>
      </c>
      <c r="D51" s="38" t="s">
        <v>116</v>
      </c>
      <c r="E51" s="39" t="s">
        <v>23</v>
      </c>
      <c r="F51" s="30" t="s">
        <v>90</v>
      </c>
      <c r="G51" s="31">
        <v>14</v>
      </c>
      <c r="H51" s="31" t="str">
        <f t="shared" si="1"/>
        <v>XI-2_14</v>
      </c>
      <c r="I51" s="31">
        <v>2</v>
      </c>
      <c r="J51" s="31" t="str">
        <f t="shared" si="2"/>
        <v>0092064735-50</v>
      </c>
      <c r="K51" s="31" t="str">
        <f t="shared" si="3"/>
        <v>0092064735-50</v>
      </c>
      <c r="L51" s="31">
        <v>4</v>
      </c>
      <c r="M51" s="33"/>
      <c r="N51" s="34"/>
      <c r="O51" s="36">
        <v>50</v>
      </c>
    </row>
    <row r="52" spans="1:15" ht="15.5" x14ac:dyDescent="0.35">
      <c r="A52" s="1" t="str">
        <f t="shared" si="0"/>
        <v>4-3</v>
      </c>
      <c r="B52" s="26">
        <v>51</v>
      </c>
      <c r="C52" s="37" t="s">
        <v>117</v>
      </c>
      <c r="D52" s="38" t="s">
        <v>118</v>
      </c>
      <c r="E52" s="39" t="s">
        <v>23</v>
      </c>
      <c r="F52" s="30" t="s">
        <v>90</v>
      </c>
      <c r="G52" s="31">
        <v>15</v>
      </c>
      <c r="H52" s="31" t="str">
        <f t="shared" si="1"/>
        <v>XI-2_15</v>
      </c>
      <c r="I52" s="31">
        <v>3</v>
      </c>
      <c r="J52" s="31" t="str">
        <f t="shared" si="2"/>
        <v>0094841275-51</v>
      </c>
      <c r="K52" s="31" t="str">
        <f t="shared" si="3"/>
        <v>0094841275-51</v>
      </c>
      <c r="L52" s="31">
        <v>4</v>
      </c>
      <c r="M52" s="33"/>
      <c r="N52" s="34"/>
      <c r="O52" s="36">
        <v>51</v>
      </c>
    </row>
    <row r="53" spans="1:15" ht="15.5" x14ac:dyDescent="0.35">
      <c r="A53" s="1" t="str">
        <f t="shared" si="0"/>
        <v>4-4</v>
      </c>
      <c r="B53" s="26">
        <v>52</v>
      </c>
      <c r="C53" s="37" t="s">
        <v>119</v>
      </c>
      <c r="D53" s="38" t="s">
        <v>120</v>
      </c>
      <c r="E53" s="39" t="s">
        <v>23</v>
      </c>
      <c r="F53" s="30" t="s">
        <v>90</v>
      </c>
      <c r="G53" s="31">
        <v>16</v>
      </c>
      <c r="H53" s="31" t="str">
        <f t="shared" si="1"/>
        <v>XI-2_16</v>
      </c>
      <c r="I53" s="31">
        <v>4</v>
      </c>
      <c r="J53" s="31" t="str">
        <f t="shared" si="2"/>
        <v>0097087327-52</v>
      </c>
      <c r="K53" s="31" t="str">
        <f t="shared" si="3"/>
        <v>0097087327-52</v>
      </c>
      <c r="L53" s="31">
        <v>4</v>
      </c>
      <c r="M53" s="33"/>
      <c r="N53" s="34"/>
      <c r="O53" s="35">
        <v>52</v>
      </c>
    </row>
    <row r="54" spans="1:15" ht="15.5" x14ac:dyDescent="0.35">
      <c r="A54" s="1" t="str">
        <f t="shared" si="0"/>
        <v>4-5</v>
      </c>
      <c r="B54" s="26">
        <v>53</v>
      </c>
      <c r="C54" s="37" t="s">
        <v>121</v>
      </c>
      <c r="D54" s="38" t="s">
        <v>122</v>
      </c>
      <c r="E54" s="39" t="s">
        <v>23</v>
      </c>
      <c r="F54" s="30" t="s">
        <v>90</v>
      </c>
      <c r="G54" s="31">
        <v>17</v>
      </c>
      <c r="H54" s="31" t="str">
        <f t="shared" si="1"/>
        <v>XI-2_17</v>
      </c>
      <c r="I54" s="31">
        <v>5</v>
      </c>
      <c r="J54" s="31" t="str">
        <f t="shared" si="2"/>
        <v>0094948564-53</v>
      </c>
      <c r="K54" s="31" t="str">
        <f t="shared" si="3"/>
        <v>0094948564-53</v>
      </c>
      <c r="L54" s="31">
        <v>4</v>
      </c>
      <c r="M54" s="33"/>
      <c r="N54" s="34"/>
      <c r="O54" s="36">
        <v>53</v>
      </c>
    </row>
    <row r="55" spans="1:15" ht="15.5" x14ac:dyDescent="0.35">
      <c r="A55" s="1" t="str">
        <f t="shared" si="0"/>
        <v>4-6</v>
      </c>
      <c r="B55" s="26">
        <v>54</v>
      </c>
      <c r="C55" s="37" t="s">
        <v>123</v>
      </c>
      <c r="D55" s="38" t="s">
        <v>124</v>
      </c>
      <c r="E55" s="39" t="s">
        <v>23</v>
      </c>
      <c r="F55" s="30" t="s">
        <v>90</v>
      </c>
      <c r="G55" s="31">
        <v>18</v>
      </c>
      <c r="H55" s="31" t="str">
        <f t="shared" si="1"/>
        <v>XI-2_18</v>
      </c>
      <c r="I55" s="31">
        <v>6</v>
      </c>
      <c r="J55" s="31" t="str">
        <f t="shared" si="2"/>
        <v>0081698406-54</v>
      </c>
      <c r="K55" s="31" t="str">
        <f t="shared" si="3"/>
        <v>0081698406-54</v>
      </c>
      <c r="L55" s="31">
        <v>4</v>
      </c>
      <c r="M55" s="33"/>
      <c r="N55" s="34"/>
      <c r="O55" s="36">
        <v>54</v>
      </c>
    </row>
    <row r="56" spans="1:15" ht="15.5" x14ac:dyDescent="0.35">
      <c r="A56" s="1" t="str">
        <f t="shared" si="0"/>
        <v>4-7</v>
      </c>
      <c r="B56" s="26">
        <v>55</v>
      </c>
      <c r="C56" s="37" t="s">
        <v>125</v>
      </c>
      <c r="D56" s="38" t="s">
        <v>126</v>
      </c>
      <c r="E56" s="39" t="s">
        <v>13</v>
      </c>
      <c r="F56" s="30" t="s">
        <v>90</v>
      </c>
      <c r="G56" s="31">
        <v>19</v>
      </c>
      <c r="H56" s="31" t="str">
        <f t="shared" si="1"/>
        <v>XI-2_19</v>
      </c>
      <c r="I56" s="31">
        <v>7</v>
      </c>
      <c r="J56" s="31" t="str">
        <f t="shared" si="2"/>
        <v>0071650903-55</v>
      </c>
      <c r="K56" s="31" t="str">
        <f t="shared" si="3"/>
        <v>0071650903-55</v>
      </c>
      <c r="L56" s="31">
        <v>4</v>
      </c>
      <c r="M56" s="33"/>
      <c r="N56" s="34"/>
      <c r="O56" s="35">
        <v>55</v>
      </c>
    </row>
    <row r="57" spans="1:15" ht="15.5" x14ac:dyDescent="0.35">
      <c r="A57" s="1" t="str">
        <f t="shared" si="0"/>
        <v>4-8</v>
      </c>
      <c r="B57" s="26">
        <v>56</v>
      </c>
      <c r="C57" s="37" t="s">
        <v>127</v>
      </c>
      <c r="D57" s="38" t="s">
        <v>128</v>
      </c>
      <c r="E57" s="39" t="s">
        <v>13</v>
      </c>
      <c r="F57" s="30" t="s">
        <v>90</v>
      </c>
      <c r="G57" s="31">
        <v>20</v>
      </c>
      <c r="H57" s="31" t="str">
        <f t="shared" si="1"/>
        <v>XI-2_20</v>
      </c>
      <c r="I57" s="31">
        <v>8</v>
      </c>
      <c r="J57" s="31" t="str">
        <f t="shared" si="2"/>
        <v>0089281032-56</v>
      </c>
      <c r="K57" s="31" t="str">
        <f t="shared" si="3"/>
        <v>0089281032-56</v>
      </c>
      <c r="L57" s="31">
        <v>4</v>
      </c>
      <c r="M57" s="33"/>
      <c r="N57" s="34"/>
      <c r="O57" s="36">
        <v>56</v>
      </c>
    </row>
    <row r="58" spans="1:15" ht="15.5" x14ac:dyDescent="0.35">
      <c r="A58" s="1" t="str">
        <f t="shared" si="0"/>
        <v>4-9</v>
      </c>
      <c r="B58" s="26">
        <v>57</v>
      </c>
      <c r="C58" s="37" t="s">
        <v>129</v>
      </c>
      <c r="D58" s="38" t="s">
        <v>130</v>
      </c>
      <c r="E58" s="39" t="s">
        <v>13</v>
      </c>
      <c r="F58" s="30" t="s">
        <v>90</v>
      </c>
      <c r="G58" s="31">
        <v>21</v>
      </c>
      <c r="H58" s="31" t="str">
        <f t="shared" si="1"/>
        <v>XI-2_21</v>
      </c>
      <c r="I58" s="31">
        <v>9</v>
      </c>
      <c r="J58" s="31" t="str">
        <f t="shared" si="2"/>
        <v>0085524228-57</v>
      </c>
      <c r="K58" s="31" t="str">
        <f t="shared" si="3"/>
        <v>0085524228-57</v>
      </c>
      <c r="L58" s="31">
        <v>4</v>
      </c>
      <c r="M58" s="33"/>
      <c r="N58" s="34"/>
      <c r="O58" s="36">
        <v>57</v>
      </c>
    </row>
    <row r="59" spans="1:15" ht="15.5" x14ac:dyDescent="0.35">
      <c r="A59" s="1" t="str">
        <f t="shared" si="0"/>
        <v>4-10</v>
      </c>
      <c r="B59" s="26">
        <v>58</v>
      </c>
      <c r="C59" s="37" t="s">
        <v>131</v>
      </c>
      <c r="D59" s="38" t="s">
        <v>132</v>
      </c>
      <c r="E59" s="39" t="s">
        <v>13</v>
      </c>
      <c r="F59" s="30" t="s">
        <v>90</v>
      </c>
      <c r="G59" s="31">
        <v>22</v>
      </c>
      <c r="H59" s="31" t="str">
        <f t="shared" si="1"/>
        <v>XI-2_22</v>
      </c>
      <c r="I59" s="31">
        <v>10</v>
      </c>
      <c r="J59" s="31" t="str">
        <f t="shared" si="2"/>
        <v>0081948744-58</v>
      </c>
      <c r="K59" s="31" t="str">
        <f t="shared" si="3"/>
        <v>0081948744-58</v>
      </c>
      <c r="L59" s="31">
        <v>4</v>
      </c>
      <c r="M59" s="33"/>
      <c r="N59" s="34"/>
      <c r="O59" s="35">
        <v>58</v>
      </c>
    </row>
    <row r="60" spans="1:15" ht="15.5" x14ac:dyDescent="0.35">
      <c r="A60" s="1" t="str">
        <f t="shared" si="0"/>
        <v>4-11</v>
      </c>
      <c r="B60" s="26">
        <v>59</v>
      </c>
      <c r="C60" s="37" t="s">
        <v>133</v>
      </c>
      <c r="D60" s="38" t="s">
        <v>134</v>
      </c>
      <c r="E60" s="39" t="s">
        <v>13</v>
      </c>
      <c r="F60" s="30" t="s">
        <v>90</v>
      </c>
      <c r="G60" s="31">
        <v>23</v>
      </c>
      <c r="H60" s="31" t="str">
        <f t="shared" si="1"/>
        <v>XI-2_23</v>
      </c>
      <c r="I60" s="31">
        <v>11</v>
      </c>
      <c r="J60" s="31" t="str">
        <f t="shared" si="2"/>
        <v>0092909650-59</v>
      </c>
      <c r="K60" s="31" t="str">
        <f t="shared" si="3"/>
        <v>0092909650-59</v>
      </c>
      <c r="L60" s="31">
        <v>4</v>
      </c>
      <c r="M60" s="33"/>
      <c r="N60" s="34"/>
      <c r="O60" s="36">
        <v>59</v>
      </c>
    </row>
    <row r="61" spans="1:15" ht="15.5" x14ac:dyDescent="0.35">
      <c r="A61" s="1" t="str">
        <f t="shared" si="0"/>
        <v>4-12</v>
      </c>
      <c r="B61" s="26">
        <v>60</v>
      </c>
      <c r="C61" s="37" t="s">
        <v>135</v>
      </c>
      <c r="D61" s="38" t="s">
        <v>136</v>
      </c>
      <c r="E61" s="39" t="s">
        <v>23</v>
      </c>
      <c r="F61" s="30" t="s">
        <v>90</v>
      </c>
      <c r="G61" s="31">
        <v>24</v>
      </c>
      <c r="H61" s="31" t="str">
        <f t="shared" si="1"/>
        <v>XI-2_24</v>
      </c>
      <c r="I61" s="31">
        <v>12</v>
      </c>
      <c r="J61" s="31" t="str">
        <f t="shared" si="2"/>
        <v>0082529399-60</v>
      </c>
      <c r="K61" s="31" t="str">
        <f t="shared" si="3"/>
        <v>0082529399-60</v>
      </c>
      <c r="L61" s="31">
        <v>4</v>
      </c>
      <c r="M61" s="33"/>
      <c r="N61" s="34"/>
      <c r="O61" s="36">
        <v>60</v>
      </c>
    </row>
    <row r="62" spans="1:15" ht="15.5" x14ac:dyDescent="0.35">
      <c r="A62" s="1" t="str">
        <f t="shared" si="0"/>
        <v>4-13</v>
      </c>
      <c r="B62" s="26">
        <v>61</v>
      </c>
      <c r="C62" s="37" t="s">
        <v>137</v>
      </c>
      <c r="D62" s="38" t="s">
        <v>138</v>
      </c>
      <c r="E62" s="39" t="s">
        <v>13</v>
      </c>
      <c r="F62" s="30" t="s">
        <v>90</v>
      </c>
      <c r="G62" s="31">
        <v>25</v>
      </c>
      <c r="H62" s="31" t="str">
        <f t="shared" si="1"/>
        <v>XI-2_25</v>
      </c>
      <c r="I62" s="31">
        <v>13</v>
      </c>
      <c r="J62" s="31" t="str">
        <f t="shared" si="2"/>
        <v>0092926760-61</v>
      </c>
      <c r="K62" s="31" t="str">
        <f t="shared" si="3"/>
        <v>0092926760-61</v>
      </c>
      <c r="L62" s="31">
        <v>4</v>
      </c>
      <c r="M62" s="33"/>
      <c r="N62" s="34"/>
      <c r="O62" s="35">
        <v>61</v>
      </c>
    </row>
    <row r="63" spans="1:15" ht="15.5" x14ac:dyDescent="0.35">
      <c r="A63" s="1" t="str">
        <f t="shared" si="0"/>
        <v>4-14</v>
      </c>
      <c r="B63" s="26">
        <v>62</v>
      </c>
      <c r="C63" s="37" t="s">
        <v>139</v>
      </c>
      <c r="D63" s="38" t="s">
        <v>140</v>
      </c>
      <c r="E63" s="39" t="s">
        <v>13</v>
      </c>
      <c r="F63" s="30" t="s">
        <v>90</v>
      </c>
      <c r="G63" s="31">
        <v>26</v>
      </c>
      <c r="H63" s="31" t="str">
        <f t="shared" si="1"/>
        <v>XI-2_26</v>
      </c>
      <c r="I63" s="31">
        <v>14</v>
      </c>
      <c r="J63" s="31" t="str">
        <f t="shared" si="2"/>
        <v>0081369953-62</v>
      </c>
      <c r="K63" s="31" t="str">
        <f t="shared" si="3"/>
        <v>0081369953-62</v>
      </c>
      <c r="L63" s="31">
        <v>4</v>
      </c>
      <c r="M63" s="33"/>
      <c r="N63" s="34"/>
      <c r="O63" s="36">
        <v>62</v>
      </c>
    </row>
    <row r="64" spans="1:15" ht="15.5" x14ac:dyDescent="0.35">
      <c r="A64" s="1" t="str">
        <f t="shared" si="0"/>
        <v>4-15</v>
      </c>
      <c r="B64" s="26">
        <v>63</v>
      </c>
      <c r="C64" s="37" t="s">
        <v>141</v>
      </c>
      <c r="D64" s="38" t="s">
        <v>142</v>
      </c>
      <c r="E64" s="39" t="s">
        <v>13</v>
      </c>
      <c r="F64" s="30" t="s">
        <v>90</v>
      </c>
      <c r="G64" s="31">
        <v>27</v>
      </c>
      <c r="H64" s="31" t="str">
        <f t="shared" si="1"/>
        <v>XI-2_27</v>
      </c>
      <c r="I64" s="31">
        <v>15</v>
      </c>
      <c r="J64" s="31" t="str">
        <f t="shared" si="2"/>
        <v>0082522921-63</v>
      </c>
      <c r="K64" s="31" t="str">
        <f t="shared" si="3"/>
        <v>0082522921-63</v>
      </c>
      <c r="L64" s="31">
        <v>4</v>
      </c>
      <c r="M64" s="33"/>
      <c r="N64" s="34"/>
      <c r="O64" s="36">
        <v>63</v>
      </c>
    </row>
    <row r="65" spans="1:15" ht="15.5" x14ac:dyDescent="0.35">
      <c r="A65" s="1" t="str">
        <f t="shared" si="0"/>
        <v>4-16</v>
      </c>
      <c r="B65" s="26">
        <v>64</v>
      </c>
      <c r="C65" s="37" t="s">
        <v>143</v>
      </c>
      <c r="D65" s="38" t="s">
        <v>144</v>
      </c>
      <c r="E65" s="39" t="s">
        <v>13</v>
      </c>
      <c r="F65" s="30" t="s">
        <v>90</v>
      </c>
      <c r="G65" s="31">
        <v>28</v>
      </c>
      <c r="H65" s="31" t="str">
        <f t="shared" si="1"/>
        <v>XI-2_28</v>
      </c>
      <c r="I65" s="31">
        <v>16</v>
      </c>
      <c r="J65" s="31" t="str">
        <f t="shared" si="2"/>
        <v>0082810524-64</v>
      </c>
      <c r="K65" s="31" t="str">
        <f t="shared" si="3"/>
        <v>0082810524-64</v>
      </c>
      <c r="L65" s="31">
        <v>4</v>
      </c>
      <c r="M65" s="33"/>
      <c r="N65" s="34"/>
      <c r="O65" s="35">
        <v>64</v>
      </c>
    </row>
    <row r="66" spans="1:15" ht="15.5" x14ac:dyDescent="0.35">
      <c r="A66" s="1" t="str">
        <f t="shared" ref="A66:A129" si="4">L66&amp;"-"&amp;I66</f>
        <v>5-1</v>
      </c>
      <c r="B66" s="26">
        <v>65</v>
      </c>
      <c r="C66" s="37" t="s">
        <v>145</v>
      </c>
      <c r="D66" s="38" t="s">
        <v>146</v>
      </c>
      <c r="E66" s="39" t="s">
        <v>13</v>
      </c>
      <c r="F66" s="30" t="s">
        <v>90</v>
      </c>
      <c r="G66" s="31">
        <v>29</v>
      </c>
      <c r="H66" s="31" t="str">
        <f t="shared" ref="H66:H129" si="5">F66&amp;"_"&amp;G66</f>
        <v>XI-2_29</v>
      </c>
      <c r="I66" s="45">
        <v>1</v>
      </c>
      <c r="J66" s="45" t="str">
        <f t="shared" ref="J66:J129" si="6">C66&amp;"-"&amp;B66</f>
        <v>0096496698-65</v>
      </c>
      <c r="K66" s="45" t="str">
        <f t="shared" ref="K66:K129" si="7">C66&amp;"-"&amp;B66</f>
        <v>0096496698-65</v>
      </c>
      <c r="L66" s="45">
        <v>5</v>
      </c>
      <c r="M66" s="33"/>
      <c r="N66" s="34"/>
      <c r="O66" s="36">
        <v>65</v>
      </c>
    </row>
    <row r="67" spans="1:15" ht="15.5" x14ac:dyDescent="0.35">
      <c r="A67" s="1" t="str">
        <f t="shared" si="4"/>
        <v>5-2</v>
      </c>
      <c r="B67" s="26">
        <v>66</v>
      </c>
      <c r="C67" s="37" t="s">
        <v>147</v>
      </c>
      <c r="D67" s="38" t="s">
        <v>148</v>
      </c>
      <c r="E67" s="39" t="s">
        <v>13</v>
      </c>
      <c r="F67" s="30" t="s">
        <v>90</v>
      </c>
      <c r="G67" s="31">
        <v>30</v>
      </c>
      <c r="H67" s="31" t="str">
        <f t="shared" si="5"/>
        <v>XI-2_30</v>
      </c>
      <c r="I67" s="45">
        <v>2</v>
      </c>
      <c r="J67" s="45" t="str">
        <f t="shared" si="6"/>
        <v>0097990699-66</v>
      </c>
      <c r="K67" s="45" t="str">
        <f t="shared" si="7"/>
        <v>0097990699-66</v>
      </c>
      <c r="L67" s="45">
        <v>5</v>
      </c>
      <c r="M67" s="33"/>
      <c r="N67" s="34"/>
      <c r="O67" s="36">
        <v>66</v>
      </c>
    </row>
    <row r="68" spans="1:15" ht="15.5" x14ac:dyDescent="0.35">
      <c r="A68" s="1" t="str">
        <f t="shared" si="4"/>
        <v>5-3</v>
      </c>
      <c r="B68" s="26">
        <v>67</v>
      </c>
      <c r="C68" s="37" t="s">
        <v>149</v>
      </c>
      <c r="D68" s="38" t="s">
        <v>150</v>
      </c>
      <c r="E68" s="39" t="s">
        <v>23</v>
      </c>
      <c r="F68" s="30" t="s">
        <v>90</v>
      </c>
      <c r="G68" s="31">
        <v>31</v>
      </c>
      <c r="H68" s="31" t="str">
        <f t="shared" si="5"/>
        <v>XI-2_31</v>
      </c>
      <c r="I68" s="45">
        <v>3</v>
      </c>
      <c r="J68" s="45" t="str">
        <f t="shared" si="6"/>
        <v>0087950234-67</v>
      </c>
      <c r="K68" s="45" t="str">
        <f t="shared" si="7"/>
        <v>0087950234-67</v>
      </c>
      <c r="L68" s="45">
        <v>5</v>
      </c>
      <c r="M68" s="33"/>
      <c r="N68" s="34"/>
      <c r="O68" s="35">
        <v>67</v>
      </c>
    </row>
    <row r="69" spans="1:15" ht="15.5" x14ac:dyDescent="0.35">
      <c r="A69" s="1" t="str">
        <f t="shared" si="4"/>
        <v>5-4</v>
      </c>
      <c r="B69" s="26">
        <v>68</v>
      </c>
      <c r="C69" s="37" t="s">
        <v>151</v>
      </c>
      <c r="D69" s="38" t="s">
        <v>152</v>
      </c>
      <c r="E69" s="39" t="s">
        <v>13</v>
      </c>
      <c r="F69" s="30" t="s">
        <v>90</v>
      </c>
      <c r="G69" s="31">
        <v>32</v>
      </c>
      <c r="H69" s="31" t="str">
        <f t="shared" si="5"/>
        <v>XI-2_32</v>
      </c>
      <c r="I69" s="45">
        <v>4</v>
      </c>
      <c r="J69" s="45" t="str">
        <f t="shared" si="6"/>
        <v>0091415720-68</v>
      </c>
      <c r="K69" s="45" t="str">
        <f t="shared" si="7"/>
        <v>0091415720-68</v>
      </c>
      <c r="L69" s="45">
        <v>5</v>
      </c>
      <c r="M69" s="33"/>
      <c r="N69" s="34"/>
      <c r="O69" s="36">
        <v>68</v>
      </c>
    </row>
    <row r="70" spans="1:15" ht="15.5" x14ac:dyDescent="0.35">
      <c r="A70" s="1" t="str">
        <f t="shared" si="4"/>
        <v>5-5</v>
      </c>
      <c r="B70" s="26">
        <v>69</v>
      </c>
      <c r="C70" s="37" t="s">
        <v>153</v>
      </c>
      <c r="D70" s="38" t="s">
        <v>154</v>
      </c>
      <c r="E70" s="39" t="s">
        <v>13</v>
      </c>
      <c r="F70" s="30" t="s">
        <v>90</v>
      </c>
      <c r="G70" s="31">
        <v>33</v>
      </c>
      <c r="H70" s="31" t="str">
        <f t="shared" si="5"/>
        <v>XI-2_33</v>
      </c>
      <c r="I70" s="45">
        <v>5</v>
      </c>
      <c r="J70" s="45" t="str">
        <f t="shared" si="6"/>
        <v>3099876993-69</v>
      </c>
      <c r="K70" s="45" t="str">
        <f t="shared" si="7"/>
        <v>3099876993-69</v>
      </c>
      <c r="L70" s="45">
        <v>5</v>
      </c>
      <c r="M70" s="33"/>
      <c r="N70" s="34"/>
      <c r="O70" s="36">
        <v>69</v>
      </c>
    </row>
    <row r="71" spans="1:15" ht="15.5" x14ac:dyDescent="0.35">
      <c r="A71" s="1" t="str">
        <f t="shared" si="4"/>
        <v>5-6</v>
      </c>
      <c r="B71" s="26">
        <v>70</v>
      </c>
      <c r="C71" s="37" t="s">
        <v>155</v>
      </c>
      <c r="D71" s="38" t="s">
        <v>156</v>
      </c>
      <c r="E71" s="39" t="s">
        <v>23</v>
      </c>
      <c r="F71" s="30" t="s">
        <v>90</v>
      </c>
      <c r="G71" s="31">
        <v>34</v>
      </c>
      <c r="H71" s="31" t="str">
        <f t="shared" si="5"/>
        <v>XI-2_34</v>
      </c>
      <c r="I71" s="45">
        <v>6</v>
      </c>
      <c r="J71" s="45" t="str">
        <f t="shared" si="6"/>
        <v>0097082967-70</v>
      </c>
      <c r="K71" s="45" t="str">
        <f t="shared" si="7"/>
        <v>0097082967-70</v>
      </c>
      <c r="L71" s="45">
        <v>5</v>
      </c>
      <c r="M71" s="33"/>
      <c r="N71" s="34"/>
      <c r="O71" s="35">
        <v>70</v>
      </c>
    </row>
    <row r="72" spans="1:15" ht="15.5" x14ac:dyDescent="0.35">
      <c r="A72" s="1" t="str">
        <f t="shared" si="4"/>
        <v>5-7</v>
      </c>
      <c r="B72" s="26">
        <v>71</v>
      </c>
      <c r="C72" s="37" t="s">
        <v>157</v>
      </c>
      <c r="D72" s="38" t="s">
        <v>158</v>
      </c>
      <c r="E72" s="39" t="s">
        <v>13</v>
      </c>
      <c r="F72" s="30" t="s">
        <v>90</v>
      </c>
      <c r="G72" s="31">
        <v>35</v>
      </c>
      <c r="H72" s="31" t="str">
        <f t="shared" si="5"/>
        <v>XI-2_35</v>
      </c>
      <c r="I72" s="45">
        <v>7</v>
      </c>
      <c r="J72" s="45" t="str">
        <f t="shared" si="6"/>
        <v>0072318155-71</v>
      </c>
      <c r="K72" s="45" t="str">
        <f t="shared" si="7"/>
        <v>0072318155-71</v>
      </c>
      <c r="L72" s="45">
        <v>5</v>
      </c>
      <c r="M72" s="33"/>
      <c r="N72" s="34"/>
      <c r="O72" s="36">
        <v>71</v>
      </c>
    </row>
    <row r="73" spans="1:15" ht="15.5" x14ac:dyDescent="0.35">
      <c r="A73" s="1" t="str">
        <f t="shared" si="4"/>
        <v>5-8</v>
      </c>
      <c r="B73" s="26">
        <v>72</v>
      </c>
      <c r="C73" s="27" t="s">
        <v>159</v>
      </c>
      <c r="D73" s="46" t="s">
        <v>160</v>
      </c>
      <c r="E73" s="47" t="s">
        <v>13</v>
      </c>
      <c r="F73" s="48" t="s">
        <v>161</v>
      </c>
      <c r="G73" s="49">
        <v>1</v>
      </c>
      <c r="H73" s="49" t="str">
        <f t="shared" si="5"/>
        <v>XI-3_1</v>
      </c>
      <c r="I73" s="45">
        <v>8</v>
      </c>
      <c r="J73" s="50" t="str">
        <f t="shared" si="6"/>
        <v>0093605672-72</v>
      </c>
      <c r="K73" s="50" t="str">
        <f t="shared" si="7"/>
        <v>0093605672-72</v>
      </c>
      <c r="L73" s="50">
        <v>5</v>
      </c>
      <c r="M73" s="51"/>
      <c r="N73" s="52"/>
      <c r="O73" s="53">
        <v>72</v>
      </c>
    </row>
    <row r="74" spans="1:15" ht="15.5" x14ac:dyDescent="0.35">
      <c r="A74" s="1" t="str">
        <f t="shared" si="4"/>
        <v>5-9</v>
      </c>
      <c r="B74" s="26">
        <v>73</v>
      </c>
      <c r="C74" s="27" t="s">
        <v>162</v>
      </c>
      <c r="D74" s="46" t="s">
        <v>163</v>
      </c>
      <c r="E74" s="47" t="s">
        <v>23</v>
      </c>
      <c r="F74" s="48" t="s">
        <v>161</v>
      </c>
      <c r="G74" s="49">
        <v>2</v>
      </c>
      <c r="H74" s="49" t="str">
        <f t="shared" si="5"/>
        <v>XI-3_2</v>
      </c>
      <c r="I74" s="45">
        <v>9</v>
      </c>
      <c r="J74" s="50" t="str">
        <f t="shared" si="6"/>
        <v>0095972778-73</v>
      </c>
      <c r="K74" s="50" t="str">
        <f t="shared" si="7"/>
        <v>0095972778-73</v>
      </c>
      <c r="L74" s="50">
        <v>5</v>
      </c>
      <c r="M74" s="51"/>
      <c r="N74" s="52"/>
      <c r="O74" s="53">
        <v>73</v>
      </c>
    </row>
    <row r="75" spans="1:15" ht="15.5" x14ac:dyDescent="0.35">
      <c r="A75" s="1" t="str">
        <f t="shared" si="4"/>
        <v>5-10</v>
      </c>
      <c r="B75" s="26">
        <v>74</v>
      </c>
      <c r="C75" s="27" t="s">
        <v>164</v>
      </c>
      <c r="D75" s="46" t="s">
        <v>165</v>
      </c>
      <c r="E75" s="47" t="s">
        <v>13</v>
      </c>
      <c r="F75" s="48" t="s">
        <v>161</v>
      </c>
      <c r="G75" s="49">
        <v>3</v>
      </c>
      <c r="H75" s="49" t="str">
        <f t="shared" si="5"/>
        <v>XI-3_3</v>
      </c>
      <c r="I75" s="45">
        <v>10</v>
      </c>
      <c r="J75" s="50" t="str">
        <f t="shared" si="6"/>
        <v>0085919244-74</v>
      </c>
      <c r="K75" s="50" t="str">
        <f t="shared" si="7"/>
        <v>0085919244-74</v>
      </c>
      <c r="L75" s="50">
        <v>5</v>
      </c>
      <c r="M75" s="51"/>
      <c r="N75" s="52"/>
      <c r="O75" s="53">
        <v>74</v>
      </c>
    </row>
    <row r="76" spans="1:15" ht="15.5" x14ac:dyDescent="0.35">
      <c r="A76" s="1" t="str">
        <f t="shared" si="4"/>
        <v>5-11</v>
      </c>
      <c r="B76" s="26">
        <v>75</v>
      </c>
      <c r="C76" s="27" t="s">
        <v>166</v>
      </c>
      <c r="D76" s="46" t="s">
        <v>167</v>
      </c>
      <c r="E76" s="47" t="s">
        <v>13</v>
      </c>
      <c r="F76" s="48" t="s">
        <v>161</v>
      </c>
      <c r="G76" s="49">
        <v>4</v>
      </c>
      <c r="H76" s="49" t="str">
        <f t="shared" si="5"/>
        <v>XI-3_4</v>
      </c>
      <c r="I76" s="45">
        <v>11</v>
      </c>
      <c r="J76" s="50" t="str">
        <f t="shared" si="6"/>
        <v>0097657243-75</v>
      </c>
      <c r="K76" s="50" t="str">
        <f t="shared" si="7"/>
        <v>0097657243-75</v>
      </c>
      <c r="L76" s="50">
        <v>5</v>
      </c>
      <c r="M76" s="51"/>
      <c r="N76" s="52"/>
      <c r="O76" s="53">
        <v>75</v>
      </c>
    </row>
    <row r="77" spans="1:15" ht="15.5" x14ac:dyDescent="0.35">
      <c r="A77" s="1" t="str">
        <f t="shared" si="4"/>
        <v>5-12</v>
      </c>
      <c r="B77" s="26">
        <v>76</v>
      </c>
      <c r="C77" s="27" t="s">
        <v>168</v>
      </c>
      <c r="D77" s="46" t="s">
        <v>169</v>
      </c>
      <c r="E77" s="47" t="s">
        <v>13</v>
      </c>
      <c r="F77" s="48" t="s">
        <v>161</v>
      </c>
      <c r="G77" s="49">
        <v>5</v>
      </c>
      <c r="H77" s="49" t="str">
        <f t="shared" si="5"/>
        <v>XI-3_5</v>
      </c>
      <c r="I77" s="45">
        <v>12</v>
      </c>
      <c r="J77" s="50" t="str">
        <f t="shared" si="6"/>
        <v>0087295313-76</v>
      </c>
      <c r="K77" s="50" t="str">
        <f t="shared" si="7"/>
        <v>0087295313-76</v>
      </c>
      <c r="L77" s="50">
        <v>5</v>
      </c>
      <c r="M77" s="51"/>
      <c r="N77" s="52"/>
      <c r="O77" s="53">
        <v>76</v>
      </c>
    </row>
    <row r="78" spans="1:15" ht="15.5" x14ac:dyDescent="0.35">
      <c r="A78" s="1" t="str">
        <f t="shared" si="4"/>
        <v>5-13</v>
      </c>
      <c r="B78" s="26">
        <v>77</v>
      </c>
      <c r="C78" s="37" t="s">
        <v>170</v>
      </c>
      <c r="D78" s="54" t="s">
        <v>171</v>
      </c>
      <c r="E78" s="55" t="s">
        <v>13</v>
      </c>
      <c r="F78" s="48" t="s">
        <v>161</v>
      </c>
      <c r="G78" s="49">
        <v>6</v>
      </c>
      <c r="H78" s="49" t="str">
        <f t="shared" si="5"/>
        <v>XI-3_6</v>
      </c>
      <c r="I78" s="45">
        <v>13</v>
      </c>
      <c r="J78" s="50" t="str">
        <f t="shared" si="6"/>
        <v>0091014899-77</v>
      </c>
      <c r="K78" s="50" t="str">
        <f t="shared" si="7"/>
        <v>0091014899-77</v>
      </c>
      <c r="L78" s="50">
        <v>5</v>
      </c>
      <c r="M78" s="51"/>
      <c r="N78" s="52"/>
      <c r="O78" s="53">
        <v>77</v>
      </c>
    </row>
    <row r="79" spans="1:15" ht="15.5" x14ac:dyDescent="0.35">
      <c r="A79" s="1" t="str">
        <f t="shared" si="4"/>
        <v>5-14</v>
      </c>
      <c r="B79" s="26">
        <v>78</v>
      </c>
      <c r="C79" s="37" t="s">
        <v>172</v>
      </c>
      <c r="D79" s="54" t="s">
        <v>173</v>
      </c>
      <c r="E79" s="55" t="s">
        <v>23</v>
      </c>
      <c r="F79" s="48" t="s">
        <v>161</v>
      </c>
      <c r="G79" s="49">
        <v>7</v>
      </c>
      <c r="H79" s="49" t="str">
        <f t="shared" si="5"/>
        <v>XI-3_7</v>
      </c>
      <c r="I79" s="45">
        <v>14</v>
      </c>
      <c r="J79" s="50" t="str">
        <f t="shared" si="6"/>
        <v>0094302815-78</v>
      </c>
      <c r="K79" s="50" t="str">
        <f t="shared" si="7"/>
        <v>0094302815-78</v>
      </c>
      <c r="L79" s="50">
        <v>5</v>
      </c>
      <c r="M79" s="51"/>
      <c r="N79" s="52"/>
      <c r="O79" s="53">
        <v>78</v>
      </c>
    </row>
    <row r="80" spans="1:15" ht="15.5" x14ac:dyDescent="0.35">
      <c r="A80" s="1" t="str">
        <f t="shared" si="4"/>
        <v>5-15</v>
      </c>
      <c r="B80" s="26">
        <v>79</v>
      </c>
      <c r="C80" s="37" t="s">
        <v>174</v>
      </c>
      <c r="D80" s="54" t="s">
        <v>175</v>
      </c>
      <c r="E80" s="55" t="s">
        <v>13</v>
      </c>
      <c r="F80" s="48" t="s">
        <v>161</v>
      </c>
      <c r="G80" s="49">
        <v>8</v>
      </c>
      <c r="H80" s="49" t="str">
        <f t="shared" si="5"/>
        <v>XI-3_8</v>
      </c>
      <c r="I80" s="45">
        <v>15</v>
      </c>
      <c r="J80" s="50" t="str">
        <f t="shared" si="6"/>
        <v>0087188679-79</v>
      </c>
      <c r="K80" s="50" t="str">
        <f t="shared" si="7"/>
        <v>0087188679-79</v>
      </c>
      <c r="L80" s="50">
        <v>5</v>
      </c>
      <c r="M80" s="51"/>
      <c r="N80" s="52"/>
      <c r="O80" s="53">
        <v>79</v>
      </c>
    </row>
    <row r="81" spans="1:15" ht="15.5" x14ac:dyDescent="0.35">
      <c r="A81" s="1" t="str">
        <f t="shared" si="4"/>
        <v>5-16</v>
      </c>
      <c r="B81" s="26">
        <v>80</v>
      </c>
      <c r="C81" s="41" t="s">
        <v>176</v>
      </c>
      <c r="D81" s="56" t="s">
        <v>177</v>
      </c>
      <c r="E81" s="57" t="s">
        <v>23</v>
      </c>
      <c r="F81" s="48" t="s">
        <v>161</v>
      </c>
      <c r="G81" s="49">
        <v>9</v>
      </c>
      <c r="H81" s="49" t="str">
        <f t="shared" si="5"/>
        <v>XI-3_9</v>
      </c>
      <c r="I81" s="45">
        <v>16</v>
      </c>
      <c r="J81" s="50" t="str">
        <f t="shared" si="6"/>
        <v>0082864700-80</v>
      </c>
      <c r="K81" s="50" t="str">
        <f t="shared" si="7"/>
        <v>0082864700-80</v>
      </c>
      <c r="L81" s="50">
        <v>5</v>
      </c>
      <c r="M81" s="51"/>
      <c r="N81" s="52"/>
      <c r="O81" s="53">
        <v>80</v>
      </c>
    </row>
    <row r="82" spans="1:15" ht="15.5" x14ac:dyDescent="0.35">
      <c r="A82" s="1" t="str">
        <f t="shared" si="4"/>
        <v>6-1</v>
      </c>
      <c r="B82" s="26">
        <v>81</v>
      </c>
      <c r="C82" s="41" t="s">
        <v>178</v>
      </c>
      <c r="D82" s="58" t="s">
        <v>179</v>
      </c>
      <c r="E82" s="55" t="s">
        <v>13</v>
      </c>
      <c r="F82" s="48" t="s">
        <v>161</v>
      </c>
      <c r="G82" s="49">
        <v>10</v>
      </c>
      <c r="H82" s="49" t="str">
        <f t="shared" si="5"/>
        <v>XI-3_10</v>
      </c>
      <c r="I82" s="19">
        <v>1</v>
      </c>
      <c r="J82" s="19" t="str">
        <f t="shared" si="6"/>
        <v>0091817930-81</v>
      </c>
      <c r="K82" s="19" t="str">
        <f t="shared" si="7"/>
        <v>0091817930-81</v>
      </c>
      <c r="L82" s="19">
        <v>6</v>
      </c>
      <c r="M82" s="51"/>
      <c r="N82" s="52"/>
      <c r="O82" s="53">
        <v>81</v>
      </c>
    </row>
    <row r="83" spans="1:15" ht="15.5" x14ac:dyDescent="0.35">
      <c r="A83" s="1" t="str">
        <f t="shared" si="4"/>
        <v>6-2</v>
      </c>
      <c r="B83" s="26">
        <v>82</v>
      </c>
      <c r="C83" s="37" t="s">
        <v>180</v>
      </c>
      <c r="D83" s="54" t="s">
        <v>181</v>
      </c>
      <c r="E83" s="55" t="s">
        <v>13</v>
      </c>
      <c r="F83" s="48" t="s">
        <v>161</v>
      </c>
      <c r="G83" s="49">
        <v>11</v>
      </c>
      <c r="H83" s="49" t="str">
        <f t="shared" si="5"/>
        <v>XI-3_11</v>
      </c>
      <c r="I83" s="19">
        <v>2</v>
      </c>
      <c r="J83" s="19" t="str">
        <f t="shared" si="6"/>
        <v>0082726478-82</v>
      </c>
      <c r="K83" s="19" t="str">
        <f t="shared" si="7"/>
        <v>0082726478-82</v>
      </c>
      <c r="L83" s="19">
        <v>6</v>
      </c>
      <c r="M83" s="51"/>
      <c r="N83" s="52"/>
      <c r="O83" s="53">
        <v>82</v>
      </c>
    </row>
    <row r="84" spans="1:15" ht="15.5" x14ac:dyDescent="0.35">
      <c r="A84" s="1" t="str">
        <f t="shared" si="4"/>
        <v>6-3</v>
      </c>
      <c r="B84" s="26">
        <v>83</v>
      </c>
      <c r="C84" s="37" t="s">
        <v>182</v>
      </c>
      <c r="D84" s="54" t="s">
        <v>183</v>
      </c>
      <c r="E84" s="55" t="s">
        <v>23</v>
      </c>
      <c r="F84" s="48" t="s">
        <v>161</v>
      </c>
      <c r="G84" s="49">
        <v>12</v>
      </c>
      <c r="H84" s="49" t="str">
        <f t="shared" si="5"/>
        <v>XI-3_12</v>
      </c>
      <c r="I84" s="19">
        <v>3</v>
      </c>
      <c r="J84" s="19" t="str">
        <f t="shared" si="6"/>
        <v>3095031720-83</v>
      </c>
      <c r="K84" s="19" t="str">
        <f t="shared" si="7"/>
        <v>3095031720-83</v>
      </c>
      <c r="L84" s="19">
        <v>6</v>
      </c>
      <c r="M84" s="51"/>
      <c r="N84" s="52"/>
      <c r="O84" s="53">
        <v>83</v>
      </c>
    </row>
    <row r="85" spans="1:15" ht="15.5" x14ac:dyDescent="0.35">
      <c r="A85" s="1" t="str">
        <f t="shared" si="4"/>
        <v>6-4</v>
      </c>
      <c r="B85" s="26">
        <v>84</v>
      </c>
      <c r="C85" s="37" t="s">
        <v>184</v>
      </c>
      <c r="D85" s="54" t="s">
        <v>185</v>
      </c>
      <c r="E85" s="55" t="s">
        <v>23</v>
      </c>
      <c r="F85" s="48" t="s">
        <v>161</v>
      </c>
      <c r="G85" s="49">
        <v>13</v>
      </c>
      <c r="H85" s="49" t="str">
        <f t="shared" si="5"/>
        <v>XI-3_13</v>
      </c>
      <c r="I85" s="19">
        <v>4</v>
      </c>
      <c r="J85" s="19" t="str">
        <f t="shared" si="6"/>
        <v>0094478489-84</v>
      </c>
      <c r="K85" s="19" t="str">
        <f t="shared" si="7"/>
        <v>0094478489-84</v>
      </c>
      <c r="L85" s="19">
        <v>6</v>
      </c>
      <c r="M85" s="51"/>
      <c r="N85" s="52"/>
      <c r="O85" s="53">
        <v>84</v>
      </c>
    </row>
    <row r="86" spans="1:15" ht="15.5" x14ac:dyDescent="0.35">
      <c r="A86" s="1" t="str">
        <f t="shared" si="4"/>
        <v>6-5</v>
      </c>
      <c r="B86" s="26">
        <v>85</v>
      </c>
      <c r="C86" s="37" t="s">
        <v>186</v>
      </c>
      <c r="D86" s="54" t="s">
        <v>187</v>
      </c>
      <c r="E86" s="55" t="s">
        <v>13</v>
      </c>
      <c r="F86" s="48" t="s">
        <v>161</v>
      </c>
      <c r="G86" s="49">
        <v>14</v>
      </c>
      <c r="H86" s="49" t="str">
        <f t="shared" si="5"/>
        <v>XI-3_14</v>
      </c>
      <c r="I86" s="19">
        <v>5</v>
      </c>
      <c r="J86" s="19" t="str">
        <f t="shared" si="6"/>
        <v>0082007742-85</v>
      </c>
      <c r="K86" s="19" t="str">
        <f t="shared" si="7"/>
        <v>0082007742-85</v>
      </c>
      <c r="L86" s="19">
        <v>6</v>
      </c>
      <c r="M86" s="51"/>
      <c r="N86" s="52"/>
      <c r="O86" s="53">
        <v>85</v>
      </c>
    </row>
    <row r="87" spans="1:15" ht="15.5" x14ac:dyDescent="0.35">
      <c r="A87" s="1" t="str">
        <f t="shared" si="4"/>
        <v>6-6</v>
      </c>
      <c r="B87" s="26">
        <v>86</v>
      </c>
      <c r="C87" s="37" t="s">
        <v>188</v>
      </c>
      <c r="D87" s="54" t="s">
        <v>189</v>
      </c>
      <c r="E87" s="55" t="s">
        <v>23</v>
      </c>
      <c r="F87" s="48" t="s">
        <v>161</v>
      </c>
      <c r="G87" s="49">
        <v>15</v>
      </c>
      <c r="H87" s="49" t="str">
        <f t="shared" si="5"/>
        <v>XI-3_15</v>
      </c>
      <c r="I87" s="19">
        <v>6</v>
      </c>
      <c r="J87" s="19" t="str">
        <f t="shared" si="6"/>
        <v>0096452661-86</v>
      </c>
      <c r="K87" s="19" t="str">
        <f t="shared" si="7"/>
        <v>0096452661-86</v>
      </c>
      <c r="L87" s="19">
        <v>6</v>
      </c>
      <c r="M87" s="51"/>
      <c r="N87" s="52"/>
      <c r="O87" s="53">
        <v>86</v>
      </c>
    </row>
    <row r="88" spans="1:15" ht="15.5" x14ac:dyDescent="0.35">
      <c r="A88" s="1" t="str">
        <f t="shared" si="4"/>
        <v>6-7</v>
      </c>
      <c r="B88" s="26">
        <v>87</v>
      </c>
      <c r="C88" s="37" t="s">
        <v>190</v>
      </c>
      <c r="D88" s="54" t="s">
        <v>191</v>
      </c>
      <c r="E88" s="55" t="s">
        <v>23</v>
      </c>
      <c r="F88" s="48" t="s">
        <v>161</v>
      </c>
      <c r="G88" s="49">
        <v>16</v>
      </c>
      <c r="H88" s="49" t="str">
        <f t="shared" si="5"/>
        <v>XI-3_16</v>
      </c>
      <c r="I88" s="19">
        <v>7</v>
      </c>
      <c r="J88" s="19" t="str">
        <f t="shared" si="6"/>
        <v>0089872118-87</v>
      </c>
      <c r="K88" s="19" t="str">
        <f t="shared" si="7"/>
        <v>0089872118-87</v>
      </c>
      <c r="L88" s="19">
        <v>6</v>
      </c>
      <c r="M88" s="51"/>
      <c r="N88" s="52"/>
      <c r="O88" s="53">
        <v>87</v>
      </c>
    </row>
    <row r="89" spans="1:15" ht="15.5" x14ac:dyDescent="0.35">
      <c r="A89" s="1" t="str">
        <f t="shared" si="4"/>
        <v>6-8</v>
      </c>
      <c r="B89" s="26">
        <v>88</v>
      </c>
      <c r="C89" s="37" t="s">
        <v>192</v>
      </c>
      <c r="D89" s="54" t="s">
        <v>193</v>
      </c>
      <c r="E89" s="55" t="s">
        <v>23</v>
      </c>
      <c r="F89" s="48" t="s">
        <v>161</v>
      </c>
      <c r="G89" s="49">
        <v>17</v>
      </c>
      <c r="H89" s="49" t="str">
        <f t="shared" si="5"/>
        <v>XI-3_17</v>
      </c>
      <c r="I89" s="19">
        <v>8</v>
      </c>
      <c r="J89" s="19" t="str">
        <f t="shared" si="6"/>
        <v>0098270171-88</v>
      </c>
      <c r="K89" s="19" t="str">
        <f t="shared" si="7"/>
        <v>0098270171-88</v>
      </c>
      <c r="L89" s="19">
        <v>6</v>
      </c>
      <c r="M89" s="51"/>
      <c r="N89" s="52"/>
      <c r="O89" s="53">
        <v>88</v>
      </c>
    </row>
    <row r="90" spans="1:15" ht="15.5" x14ac:dyDescent="0.35">
      <c r="A90" s="1" t="str">
        <f t="shared" si="4"/>
        <v>6-9</v>
      </c>
      <c r="B90" s="26">
        <v>89</v>
      </c>
      <c r="C90" s="37" t="s">
        <v>194</v>
      </c>
      <c r="D90" s="54" t="s">
        <v>195</v>
      </c>
      <c r="E90" s="55" t="s">
        <v>13</v>
      </c>
      <c r="F90" s="48" t="s">
        <v>161</v>
      </c>
      <c r="G90" s="49">
        <v>18</v>
      </c>
      <c r="H90" s="49" t="str">
        <f t="shared" si="5"/>
        <v>XI-3_18</v>
      </c>
      <c r="I90" s="19">
        <v>9</v>
      </c>
      <c r="J90" s="19" t="str">
        <f t="shared" si="6"/>
        <v>0092588371-89</v>
      </c>
      <c r="K90" s="19" t="str">
        <f t="shared" si="7"/>
        <v>0092588371-89</v>
      </c>
      <c r="L90" s="19">
        <v>6</v>
      </c>
      <c r="M90" s="51"/>
      <c r="N90" s="52"/>
      <c r="O90" s="53">
        <v>89</v>
      </c>
    </row>
    <row r="91" spans="1:15" ht="15.5" x14ac:dyDescent="0.35">
      <c r="A91" s="1" t="str">
        <f t="shared" si="4"/>
        <v>6-10</v>
      </c>
      <c r="B91" s="26">
        <v>90</v>
      </c>
      <c r="C91" s="37" t="s">
        <v>196</v>
      </c>
      <c r="D91" s="54" t="s">
        <v>197</v>
      </c>
      <c r="E91" s="55" t="s">
        <v>13</v>
      </c>
      <c r="F91" s="48" t="s">
        <v>161</v>
      </c>
      <c r="G91" s="49">
        <v>19</v>
      </c>
      <c r="H91" s="49" t="str">
        <f t="shared" si="5"/>
        <v>XI-3_19</v>
      </c>
      <c r="I91" s="19">
        <v>10</v>
      </c>
      <c r="J91" s="19" t="str">
        <f t="shared" si="6"/>
        <v>0097931029-90</v>
      </c>
      <c r="K91" s="19" t="str">
        <f t="shared" si="7"/>
        <v>0097931029-90</v>
      </c>
      <c r="L91" s="19">
        <v>6</v>
      </c>
      <c r="M91" s="51"/>
      <c r="N91" s="52"/>
      <c r="O91" s="53">
        <v>90</v>
      </c>
    </row>
    <row r="92" spans="1:15" ht="15.5" x14ac:dyDescent="0.35">
      <c r="A92" s="1" t="str">
        <f t="shared" si="4"/>
        <v>6-11</v>
      </c>
      <c r="B92" s="26">
        <v>91</v>
      </c>
      <c r="C92" s="37" t="s">
        <v>198</v>
      </c>
      <c r="D92" s="54" t="s">
        <v>199</v>
      </c>
      <c r="E92" s="55" t="s">
        <v>13</v>
      </c>
      <c r="F92" s="48" t="s">
        <v>161</v>
      </c>
      <c r="G92" s="49">
        <v>20</v>
      </c>
      <c r="H92" s="49" t="str">
        <f t="shared" si="5"/>
        <v>XI-3_20</v>
      </c>
      <c r="I92" s="19">
        <v>11</v>
      </c>
      <c r="J92" s="19" t="str">
        <f t="shared" si="6"/>
        <v>0085409726-91</v>
      </c>
      <c r="K92" s="19" t="str">
        <f t="shared" si="7"/>
        <v>0085409726-91</v>
      </c>
      <c r="L92" s="19">
        <v>6</v>
      </c>
      <c r="M92" s="51"/>
      <c r="N92" s="52"/>
      <c r="O92" s="53">
        <v>91</v>
      </c>
    </row>
    <row r="93" spans="1:15" ht="15.5" x14ac:dyDescent="0.35">
      <c r="A93" s="1" t="str">
        <f t="shared" si="4"/>
        <v>6-12</v>
      </c>
      <c r="B93" s="26">
        <v>92</v>
      </c>
      <c r="C93" s="37" t="s">
        <v>200</v>
      </c>
      <c r="D93" s="54" t="s">
        <v>201</v>
      </c>
      <c r="E93" s="55" t="s">
        <v>13</v>
      </c>
      <c r="F93" s="48" t="s">
        <v>161</v>
      </c>
      <c r="G93" s="49">
        <v>21</v>
      </c>
      <c r="H93" s="49" t="str">
        <f t="shared" si="5"/>
        <v>XI-3_21</v>
      </c>
      <c r="I93" s="19">
        <v>12</v>
      </c>
      <c r="J93" s="19" t="str">
        <f t="shared" si="6"/>
        <v>0077774021-92</v>
      </c>
      <c r="K93" s="19" t="str">
        <f t="shared" si="7"/>
        <v>0077774021-92</v>
      </c>
      <c r="L93" s="19">
        <v>6</v>
      </c>
      <c r="M93" s="51"/>
      <c r="N93" s="52"/>
      <c r="O93" s="53">
        <v>92</v>
      </c>
    </row>
    <row r="94" spans="1:15" ht="15.5" x14ac:dyDescent="0.35">
      <c r="A94" s="1" t="str">
        <f t="shared" si="4"/>
        <v>6-13</v>
      </c>
      <c r="B94" s="26">
        <v>93</v>
      </c>
      <c r="C94" s="37" t="s">
        <v>202</v>
      </c>
      <c r="D94" s="54" t="s">
        <v>203</v>
      </c>
      <c r="E94" s="55" t="s">
        <v>13</v>
      </c>
      <c r="F94" s="48" t="s">
        <v>161</v>
      </c>
      <c r="G94" s="49">
        <v>22</v>
      </c>
      <c r="H94" s="49" t="str">
        <f t="shared" si="5"/>
        <v>XI-3_22</v>
      </c>
      <c r="I94" s="19">
        <v>13</v>
      </c>
      <c r="J94" s="19" t="str">
        <f t="shared" si="6"/>
        <v>0092592216-93</v>
      </c>
      <c r="K94" s="19" t="str">
        <f t="shared" si="7"/>
        <v>0092592216-93</v>
      </c>
      <c r="L94" s="19">
        <v>6</v>
      </c>
      <c r="M94" s="51"/>
      <c r="N94" s="52"/>
      <c r="O94" s="53">
        <v>93</v>
      </c>
    </row>
    <row r="95" spans="1:15" ht="15.5" x14ac:dyDescent="0.35">
      <c r="A95" s="1" t="str">
        <f t="shared" si="4"/>
        <v>6-14</v>
      </c>
      <c r="B95" s="26">
        <v>94</v>
      </c>
      <c r="C95" s="37" t="s">
        <v>204</v>
      </c>
      <c r="D95" s="54" t="s">
        <v>205</v>
      </c>
      <c r="E95" s="55" t="s">
        <v>13</v>
      </c>
      <c r="F95" s="48" t="s">
        <v>161</v>
      </c>
      <c r="G95" s="49">
        <v>23</v>
      </c>
      <c r="H95" s="49" t="str">
        <f t="shared" si="5"/>
        <v>XI-3_23</v>
      </c>
      <c r="I95" s="19">
        <v>14</v>
      </c>
      <c r="J95" s="19" t="str">
        <f t="shared" si="6"/>
        <v>0092567351-94</v>
      </c>
      <c r="K95" s="19" t="str">
        <f t="shared" si="7"/>
        <v>0092567351-94</v>
      </c>
      <c r="L95" s="19">
        <v>6</v>
      </c>
      <c r="M95" s="51"/>
      <c r="N95" s="52"/>
      <c r="O95" s="53">
        <v>94</v>
      </c>
    </row>
    <row r="96" spans="1:15" ht="15.5" x14ac:dyDescent="0.35">
      <c r="A96" s="1" t="str">
        <f t="shared" si="4"/>
        <v>6-15</v>
      </c>
      <c r="B96" s="26">
        <v>95</v>
      </c>
      <c r="C96" s="37" t="s">
        <v>206</v>
      </c>
      <c r="D96" s="54" t="s">
        <v>207</v>
      </c>
      <c r="E96" s="55" t="s">
        <v>23</v>
      </c>
      <c r="F96" s="48" t="s">
        <v>161</v>
      </c>
      <c r="G96" s="49">
        <v>24</v>
      </c>
      <c r="H96" s="49" t="str">
        <f t="shared" si="5"/>
        <v>XI-3_24</v>
      </c>
      <c r="I96" s="19">
        <v>15</v>
      </c>
      <c r="J96" s="19" t="str">
        <f t="shared" si="6"/>
        <v>0073342176-95</v>
      </c>
      <c r="K96" s="19" t="str">
        <f t="shared" si="7"/>
        <v>0073342176-95</v>
      </c>
      <c r="L96" s="19">
        <v>6</v>
      </c>
      <c r="M96" s="51"/>
      <c r="N96" s="52"/>
      <c r="O96" s="53">
        <v>95</v>
      </c>
    </row>
    <row r="97" spans="1:15" ht="15.5" x14ac:dyDescent="0.35">
      <c r="A97" s="1" t="str">
        <f t="shared" si="4"/>
        <v>6-16</v>
      </c>
      <c r="B97" s="26">
        <v>96</v>
      </c>
      <c r="C97" s="37" t="s">
        <v>208</v>
      </c>
      <c r="D97" s="54" t="s">
        <v>209</v>
      </c>
      <c r="E97" s="55" t="s">
        <v>13</v>
      </c>
      <c r="F97" s="48" t="s">
        <v>161</v>
      </c>
      <c r="G97" s="49">
        <v>25</v>
      </c>
      <c r="H97" s="49" t="str">
        <f t="shared" si="5"/>
        <v>XI-3_25</v>
      </c>
      <c r="I97" s="19">
        <v>16</v>
      </c>
      <c r="J97" s="19" t="str">
        <f t="shared" si="6"/>
        <v>0089715302-96</v>
      </c>
      <c r="K97" s="19" t="str">
        <f t="shared" si="7"/>
        <v>0089715302-96</v>
      </c>
      <c r="L97" s="19">
        <v>6</v>
      </c>
      <c r="M97" s="51"/>
      <c r="N97" s="52"/>
      <c r="O97" s="53">
        <v>96</v>
      </c>
    </row>
    <row r="98" spans="1:15" ht="15.5" x14ac:dyDescent="0.35">
      <c r="A98" s="1" t="str">
        <f t="shared" si="4"/>
        <v>7-1</v>
      </c>
      <c r="B98" s="26">
        <v>97</v>
      </c>
      <c r="C98" s="37" t="s">
        <v>210</v>
      </c>
      <c r="D98" s="54" t="s">
        <v>211</v>
      </c>
      <c r="E98" s="55" t="s">
        <v>13</v>
      </c>
      <c r="F98" s="48" t="s">
        <v>161</v>
      </c>
      <c r="G98" s="49">
        <v>26</v>
      </c>
      <c r="H98" s="49" t="str">
        <f t="shared" si="5"/>
        <v>XI-3_26</v>
      </c>
      <c r="I98" s="59">
        <v>1</v>
      </c>
      <c r="J98" s="59" t="str">
        <f t="shared" si="6"/>
        <v>0095045779-97</v>
      </c>
      <c r="K98" s="59" t="str">
        <f t="shared" si="7"/>
        <v>0095045779-97</v>
      </c>
      <c r="L98" s="59">
        <v>7</v>
      </c>
      <c r="M98" s="51"/>
      <c r="N98" s="52"/>
      <c r="O98" s="53">
        <v>97</v>
      </c>
    </row>
    <row r="99" spans="1:15" ht="15.5" x14ac:dyDescent="0.35">
      <c r="A99" s="1" t="str">
        <f t="shared" si="4"/>
        <v>7-2</v>
      </c>
      <c r="B99" s="26">
        <v>98</v>
      </c>
      <c r="C99" s="37" t="s">
        <v>212</v>
      </c>
      <c r="D99" s="54" t="s">
        <v>213</v>
      </c>
      <c r="E99" s="55" t="s">
        <v>13</v>
      </c>
      <c r="F99" s="48" t="s">
        <v>161</v>
      </c>
      <c r="G99" s="49">
        <v>27</v>
      </c>
      <c r="H99" s="49" t="str">
        <f t="shared" si="5"/>
        <v>XI-3_27</v>
      </c>
      <c r="I99" s="59">
        <v>2</v>
      </c>
      <c r="J99" s="59" t="str">
        <f t="shared" si="6"/>
        <v>0094607356-98</v>
      </c>
      <c r="K99" s="59" t="str">
        <f t="shared" si="7"/>
        <v>0094607356-98</v>
      </c>
      <c r="L99" s="59">
        <v>7</v>
      </c>
      <c r="M99" s="51"/>
      <c r="N99" s="52"/>
      <c r="O99" s="53">
        <v>98</v>
      </c>
    </row>
    <row r="100" spans="1:15" ht="15.5" x14ac:dyDescent="0.35">
      <c r="A100" s="1" t="str">
        <f t="shared" si="4"/>
        <v>7-3</v>
      </c>
      <c r="B100" s="26">
        <v>99</v>
      </c>
      <c r="C100" s="37" t="s">
        <v>214</v>
      </c>
      <c r="D100" s="54" t="s">
        <v>215</v>
      </c>
      <c r="E100" s="55" t="s">
        <v>23</v>
      </c>
      <c r="F100" s="48" t="s">
        <v>161</v>
      </c>
      <c r="G100" s="49">
        <v>28</v>
      </c>
      <c r="H100" s="49" t="str">
        <f t="shared" si="5"/>
        <v>XI-3_28</v>
      </c>
      <c r="I100" s="59">
        <v>3</v>
      </c>
      <c r="J100" s="59" t="str">
        <f t="shared" si="6"/>
        <v>0094136891-99</v>
      </c>
      <c r="K100" s="59" t="str">
        <f t="shared" si="7"/>
        <v>0094136891-99</v>
      </c>
      <c r="L100" s="59">
        <v>7</v>
      </c>
      <c r="M100" s="51"/>
      <c r="N100" s="52"/>
      <c r="O100" s="53">
        <v>99</v>
      </c>
    </row>
    <row r="101" spans="1:15" ht="15.5" x14ac:dyDescent="0.35">
      <c r="A101" s="1" t="str">
        <f t="shared" si="4"/>
        <v>7-4</v>
      </c>
      <c r="B101" s="26">
        <v>100</v>
      </c>
      <c r="C101" s="37" t="s">
        <v>216</v>
      </c>
      <c r="D101" s="54" t="s">
        <v>217</v>
      </c>
      <c r="E101" s="55" t="s">
        <v>23</v>
      </c>
      <c r="F101" s="48" t="s">
        <v>161</v>
      </c>
      <c r="G101" s="49">
        <v>29</v>
      </c>
      <c r="H101" s="49" t="str">
        <f t="shared" si="5"/>
        <v>XI-3_29</v>
      </c>
      <c r="I101" s="59">
        <v>4</v>
      </c>
      <c r="J101" s="59" t="str">
        <f t="shared" si="6"/>
        <v>0097517235-100</v>
      </c>
      <c r="K101" s="59" t="str">
        <f t="shared" si="7"/>
        <v>0097517235-100</v>
      </c>
      <c r="L101" s="59">
        <v>7</v>
      </c>
      <c r="M101" s="51"/>
      <c r="N101" s="52"/>
      <c r="O101" s="53">
        <v>100</v>
      </c>
    </row>
    <row r="102" spans="1:15" ht="15.5" x14ac:dyDescent="0.35">
      <c r="A102" s="1" t="str">
        <f t="shared" si="4"/>
        <v>7-5</v>
      </c>
      <c r="B102" s="26">
        <v>101</v>
      </c>
      <c r="C102" s="37" t="s">
        <v>218</v>
      </c>
      <c r="D102" s="54" t="s">
        <v>219</v>
      </c>
      <c r="E102" s="55" t="s">
        <v>13</v>
      </c>
      <c r="F102" s="48" t="s">
        <v>161</v>
      </c>
      <c r="G102" s="49">
        <v>30</v>
      </c>
      <c r="H102" s="49" t="str">
        <f t="shared" si="5"/>
        <v>XI-3_30</v>
      </c>
      <c r="I102" s="59">
        <v>5</v>
      </c>
      <c r="J102" s="59" t="str">
        <f t="shared" si="6"/>
        <v>0091617624-101</v>
      </c>
      <c r="K102" s="59" t="str">
        <f t="shared" si="7"/>
        <v>0091617624-101</v>
      </c>
      <c r="L102" s="59">
        <v>7</v>
      </c>
      <c r="M102" s="51"/>
      <c r="N102" s="52"/>
      <c r="O102" s="53">
        <v>101</v>
      </c>
    </row>
    <row r="103" spans="1:15" ht="15.5" x14ac:dyDescent="0.35">
      <c r="A103" s="1" t="str">
        <f t="shared" si="4"/>
        <v>7-6</v>
      </c>
      <c r="B103" s="26">
        <v>102</v>
      </c>
      <c r="C103" s="37" t="s">
        <v>220</v>
      </c>
      <c r="D103" s="54" t="s">
        <v>221</v>
      </c>
      <c r="E103" s="55" t="s">
        <v>13</v>
      </c>
      <c r="F103" s="48" t="s">
        <v>161</v>
      </c>
      <c r="G103" s="49">
        <v>31</v>
      </c>
      <c r="H103" s="49" t="str">
        <f t="shared" si="5"/>
        <v>XI-3_31</v>
      </c>
      <c r="I103" s="59">
        <v>6</v>
      </c>
      <c r="J103" s="59" t="str">
        <f t="shared" si="6"/>
        <v>0096616796-102</v>
      </c>
      <c r="K103" s="59" t="str">
        <f t="shared" si="7"/>
        <v>0096616796-102</v>
      </c>
      <c r="L103" s="59">
        <v>7</v>
      </c>
      <c r="M103" s="51"/>
      <c r="N103" s="52"/>
      <c r="O103" s="53">
        <v>102</v>
      </c>
    </row>
    <row r="104" spans="1:15" ht="15.5" x14ac:dyDescent="0.35">
      <c r="A104" s="1" t="str">
        <f t="shared" si="4"/>
        <v>7-7</v>
      </c>
      <c r="B104" s="26">
        <v>103</v>
      </c>
      <c r="C104" s="37" t="s">
        <v>222</v>
      </c>
      <c r="D104" s="54" t="s">
        <v>223</v>
      </c>
      <c r="E104" s="55" t="s">
        <v>23</v>
      </c>
      <c r="F104" s="48" t="s">
        <v>161</v>
      </c>
      <c r="G104" s="49">
        <v>32</v>
      </c>
      <c r="H104" s="49" t="str">
        <f t="shared" si="5"/>
        <v>XI-3_32</v>
      </c>
      <c r="I104" s="59">
        <v>7</v>
      </c>
      <c r="J104" s="59" t="str">
        <f t="shared" si="6"/>
        <v>0086296469-103</v>
      </c>
      <c r="K104" s="59" t="str">
        <f t="shared" si="7"/>
        <v>0086296469-103</v>
      </c>
      <c r="L104" s="59">
        <v>7</v>
      </c>
      <c r="M104" s="51"/>
      <c r="N104" s="52"/>
      <c r="O104" s="53">
        <v>103</v>
      </c>
    </row>
    <row r="105" spans="1:15" ht="15.5" x14ac:dyDescent="0.35">
      <c r="A105" s="1" t="str">
        <f t="shared" si="4"/>
        <v>7-8</v>
      </c>
      <c r="B105" s="26">
        <v>104</v>
      </c>
      <c r="C105" s="37" t="s">
        <v>224</v>
      </c>
      <c r="D105" s="54" t="s">
        <v>225</v>
      </c>
      <c r="E105" s="55" t="s">
        <v>13</v>
      </c>
      <c r="F105" s="48" t="s">
        <v>161</v>
      </c>
      <c r="G105" s="49">
        <v>33</v>
      </c>
      <c r="H105" s="49" t="str">
        <f t="shared" si="5"/>
        <v>XI-3_33</v>
      </c>
      <c r="I105" s="59">
        <v>8</v>
      </c>
      <c r="J105" s="59" t="str">
        <f t="shared" si="6"/>
        <v>0096890693-104</v>
      </c>
      <c r="K105" s="59" t="str">
        <f t="shared" si="7"/>
        <v>0096890693-104</v>
      </c>
      <c r="L105" s="59">
        <v>7</v>
      </c>
      <c r="M105" s="51"/>
      <c r="N105" s="52"/>
      <c r="O105" s="53">
        <v>104</v>
      </c>
    </row>
    <row r="106" spans="1:15" ht="15.5" x14ac:dyDescent="0.35">
      <c r="A106" s="1" t="str">
        <f t="shared" si="4"/>
        <v>7-9</v>
      </c>
      <c r="B106" s="26">
        <v>105</v>
      </c>
      <c r="C106" s="37" t="s">
        <v>226</v>
      </c>
      <c r="D106" s="54" t="s">
        <v>227</v>
      </c>
      <c r="E106" s="55" t="s">
        <v>13</v>
      </c>
      <c r="F106" s="48" t="s">
        <v>161</v>
      </c>
      <c r="G106" s="49">
        <v>34</v>
      </c>
      <c r="H106" s="49" t="str">
        <f t="shared" si="5"/>
        <v>XI-3_34</v>
      </c>
      <c r="I106" s="59">
        <v>9</v>
      </c>
      <c r="J106" s="59" t="str">
        <f t="shared" si="6"/>
        <v>0099662469-105</v>
      </c>
      <c r="K106" s="59" t="str">
        <f t="shared" si="7"/>
        <v>0099662469-105</v>
      </c>
      <c r="L106" s="59">
        <v>7</v>
      </c>
      <c r="M106" s="51"/>
      <c r="N106" s="52"/>
      <c r="O106" s="53">
        <v>105</v>
      </c>
    </row>
    <row r="107" spans="1:15" ht="15.5" x14ac:dyDescent="0.35">
      <c r="A107" s="1" t="str">
        <f t="shared" si="4"/>
        <v>7-10</v>
      </c>
      <c r="B107" s="26">
        <v>106</v>
      </c>
      <c r="C107" s="37" t="s">
        <v>228</v>
      </c>
      <c r="D107" s="54" t="s">
        <v>229</v>
      </c>
      <c r="E107" s="55" t="s">
        <v>13</v>
      </c>
      <c r="F107" s="48" t="s">
        <v>161</v>
      </c>
      <c r="G107" s="49">
        <v>35</v>
      </c>
      <c r="H107" s="49" t="str">
        <f t="shared" si="5"/>
        <v>XI-3_35</v>
      </c>
      <c r="I107" s="59">
        <v>10</v>
      </c>
      <c r="J107" s="59" t="str">
        <f t="shared" si="6"/>
        <v>0084343059-106</v>
      </c>
      <c r="K107" s="59" t="str">
        <f t="shared" si="7"/>
        <v>0084343059-106</v>
      </c>
      <c r="L107" s="59">
        <v>7</v>
      </c>
      <c r="M107" s="51"/>
      <c r="N107" s="52"/>
      <c r="O107" s="53">
        <v>106</v>
      </c>
    </row>
    <row r="108" spans="1:15" ht="15.5" x14ac:dyDescent="0.35">
      <c r="A108" s="1" t="str">
        <f t="shared" si="4"/>
        <v>7-11</v>
      </c>
      <c r="B108" s="26">
        <v>107</v>
      </c>
      <c r="C108" s="27" t="s">
        <v>230</v>
      </c>
      <c r="D108" s="60" t="s">
        <v>231</v>
      </c>
      <c r="E108" s="61" t="s">
        <v>13</v>
      </c>
      <c r="F108" s="62" t="s">
        <v>232</v>
      </c>
      <c r="G108" s="63">
        <v>1</v>
      </c>
      <c r="H108" s="63" t="str">
        <f t="shared" si="5"/>
        <v>XI-4_1</v>
      </c>
      <c r="I108" s="59">
        <v>11</v>
      </c>
      <c r="J108" s="59" t="str">
        <f t="shared" si="6"/>
        <v>0081361389-107</v>
      </c>
      <c r="K108" s="59" t="str">
        <f t="shared" si="7"/>
        <v>0081361389-107</v>
      </c>
      <c r="L108" s="59">
        <v>7</v>
      </c>
      <c r="M108" s="64"/>
      <c r="N108" s="65"/>
      <c r="O108" s="66">
        <v>107</v>
      </c>
    </row>
    <row r="109" spans="1:15" ht="15.5" x14ac:dyDescent="0.35">
      <c r="A109" s="1" t="str">
        <f t="shared" si="4"/>
        <v>7-12</v>
      </c>
      <c r="B109" s="26">
        <v>108</v>
      </c>
      <c r="C109" s="27" t="s">
        <v>233</v>
      </c>
      <c r="D109" s="60" t="s">
        <v>234</v>
      </c>
      <c r="E109" s="61" t="s">
        <v>13</v>
      </c>
      <c r="F109" s="62" t="s">
        <v>232</v>
      </c>
      <c r="G109" s="63">
        <v>2</v>
      </c>
      <c r="H109" s="63" t="str">
        <f t="shared" si="5"/>
        <v>XI-4_2</v>
      </c>
      <c r="I109" s="59">
        <v>12</v>
      </c>
      <c r="J109" s="59" t="str">
        <f t="shared" si="6"/>
        <v>0096006573-108</v>
      </c>
      <c r="K109" s="59" t="str">
        <f t="shared" si="7"/>
        <v>0096006573-108</v>
      </c>
      <c r="L109" s="59">
        <v>7</v>
      </c>
      <c r="M109" s="64"/>
      <c r="N109" s="65"/>
      <c r="O109" s="66">
        <v>108</v>
      </c>
    </row>
    <row r="110" spans="1:15" ht="15.5" x14ac:dyDescent="0.35">
      <c r="A110" s="1" t="str">
        <f t="shared" si="4"/>
        <v>7-13</v>
      </c>
      <c r="B110" s="26">
        <v>109</v>
      </c>
      <c r="C110" s="27" t="s">
        <v>235</v>
      </c>
      <c r="D110" s="60" t="s">
        <v>236</v>
      </c>
      <c r="E110" s="61" t="s">
        <v>23</v>
      </c>
      <c r="F110" s="62" t="s">
        <v>232</v>
      </c>
      <c r="G110" s="63">
        <v>3</v>
      </c>
      <c r="H110" s="63" t="str">
        <f t="shared" si="5"/>
        <v>XI-4_3</v>
      </c>
      <c r="I110" s="59">
        <v>13</v>
      </c>
      <c r="J110" s="59" t="str">
        <f t="shared" si="6"/>
        <v>0092188171-109</v>
      </c>
      <c r="K110" s="59" t="str">
        <f t="shared" si="7"/>
        <v>0092188171-109</v>
      </c>
      <c r="L110" s="59">
        <v>7</v>
      </c>
      <c r="M110" s="64"/>
      <c r="N110" s="65"/>
      <c r="O110" s="66">
        <v>109</v>
      </c>
    </row>
    <row r="111" spans="1:15" ht="15.5" x14ac:dyDescent="0.35">
      <c r="A111" s="1" t="str">
        <f t="shared" si="4"/>
        <v>7-14</v>
      </c>
      <c r="B111" s="26">
        <v>110</v>
      </c>
      <c r="C111" s="27" t="s">
        <v>237</v>
      </c>
      <c r="D111" s="60" t="s">
        <v>238</v>
      </c>
      <c r="E111" s="61" t="s">
        <v>23</v>
      </c>
      <c r="F111" s="62" t="s">
        <v>232</v>
      </c>
      <c r="G111" s="63">
        <v>4</v>
      </c>
      <c r="H111" s="63" t="str">
        <f t="shared" si="5"/>
        <v>XI-4_4</v>
      </c>
      <c r="I111" s="59">
        <v>14</v>
      </c>
      <c r="J111" s="59" t="str">
        <f t="shared" si="6"/>
        <v>0085696236-110</v>
      </c>
      <c r="K111" s="59" t="str">
        <f t="shared" si="7"/>
        <v>0085696236-110</v>
      </c>
      <c r="L111" s="59">
        <v>7</v>
      </c>
      <c r="M111" s="64"/>
      <c r="N111" s="65"/>
      <c r="O111" s="66">
        <v>110</v>
      </c>
    </row>
    <row r="112" spans="1:15" ht="15.5" x14ac:dyDescent="0.35">
      <c r="A112" s="1" t="str">
        <f t="shared" si="4"/>
        <v>7-15</v>
      </c>
      <c r="B112" s="26">
        <v>111</v>
      </c>
      <c r="C112" s="27" t="s">
        <v>239</v>
      </c>
      <c r="D112" s="60" t="s">
        <v>240</v>
      </c>
      <c r="E112" s="61" t="s">
        <v>23</v>
      </c>
      <c r="F112" s="62" t="s">
        <v>232</v>
      </c>
      <c r="G112" s="63">
        <v>5</v>
      </c>
      <c r="H112" s="63" t="str">
        <f t="shared" si="5"/>
        <v>XI-4_5</v>
      </c>
      <c r="I112" s="59">
        <v>15</v>
      </c>
      <c r="J112" s="59" t="str">
        <f t="shared" si="6"/>
        <v>0096805646-111</v>
      </c>
      <c r="K112" s="59" t="str">
        <f t="shared" si="7"/>
        <v>0096805646-111</v>
      </c>
      <c r="L112" s="59">
        <v>7</v>
      </c>
      <c r="M112" s="64"/>
      <c r="N112" s="65"/>
      <c r="O112" s="66">
        <v>111</v>
      </c>
    </row>
    <row r="113" spans="1:15" ht="15.5" x14ac:dyDescent="0.35">
      <c r="A113" s="1" t="str">
        <f t="shared" si="4"/>
        <v>7-16</v>
      </c>
      <c r="B113" s="26">
        <v>112</v>
      </c>
      <c r="C113" s="37" t="s">
        <v>241</v>
      </c>
      <c r="D113" s="67" t="s">
        <v>242</v>
      </c>
      <c r="E113" s="68" t="s">
        <v>23</v>
      </c>
      <c r="F113" s="62" t="s">
        <v>232</v>
      </c>
      <c r="G113" s="63">
        <v>6</v>
      </c>
      <c r="H113" s="63" t="str">
        <f t="shared" si="5"/>
        <v>XI-4_6</v>
      </c>
      <c r="I113" s="59">
        <v>16</v>
      </c>
      <c r="J113" s="59" t="str">
        <f t="shared" si="6"/>
        <v>0099331168-112</v>
      </c>
      <c r="K113" s="59" t="str">
        <f t="shared" si="7"/>
        <v>0099331168-112</v>
      </c>
      <c r="L113" s="59">
        <v>7</v>
      </c>
      <c r="M113" s="64"/>
      <c r="N113" s="65"/>
      <c r="O113" s="66">
        <v>112</v>
      </c>
    </row>
    <row r="114" spans="1:15" ht="15.5" x14ac:dyDescent="0.35">
      <c r="A114" s="1" t="str">
        <f t="shared" si="4"/>
        <v>8-1</v>
      </c>
      <c r="B114" s="26">
        <v>113</v>
      </c>
      <c r="C114" s="37" t="s">
        <v>243</v>
      </c>
      <c r="D114" s="67" t="s">
        <v>244</v>
      </c>
      <c r="E114" s="68" t="s">
        <v>13</v>
      </c>
      <c r="F114" s="62" t="s">
        <v>232</v>
      </c>
      <c r="G114" s="63">
        <v>7</v>
      </c>
      <c r="H114" s="63" t="str">
        <f t="shared" si="5"/>
        <v>XI-4_7</v>
      </c>
      <c r="I114" s="63">
        <v>1</v>
      </c>
      <c r="J114" s="63" t="str">
        <f t="shared" si="6"/>
        <v>3093897058-113</v>
      </c>
      <c r="K114" s="63" t="str">
        <f t="shared" si="7"/>
        <v>3093897058-113</v>
      </c>
      <c r="L114" s="63">
        <v>8</v>
      </c>
      <c r="M114" s="64"/>
      <c r="N114" s="65"/>
      <c r="O114" s="66">
        <v>113</v>
      </c>
    </row>
    <row r="115" spans="1:15" ht="15.5" x14ac:dyDescent="0.35">
      <c r="A115" s="1" t="str">
        <f t="shared" si="4"/>
        <v>8-2</v>
      </c>
      <c r="B115" s="26">
        <v>114</v>
      </c>
      <c r="C115" s="41" t="s">
        <v>245</v>
      </c>
      <c r="D115" s="69" t="s">
        <v>246</v>
      </c>
      <c r="E115" s="68" t="s">
        <v>13</v>
      </c>
      <c r="F115" s="62" t="s">
        <v>232</v>
      </c>
      <c r="G115" s="63">
        <v>8</v>
      </c>
      <c r="H115" s="63" t="str">
        <f t="shared" si="5"/>
        <v>XI-4_8</v>
      </c>
      <c r="I115" s="63">
        <v>2</v>
      </c>
      <c r="J115" s="63" t="str">
        <f t="shared" si="6"/>
        <v>0088969728-114</v>
      </c>
      <c r="K115" s="63" t="str">
        <f t="shared" si="7"/>
        <v>0088969728-114</v>
      </c>
      <c r="L115" s="63">
        <v>8</v>
      </c>
      <c r="M115" s="64"/>
      <c r="N115" s="65"/>
      <c r="O115" s="66">
        <v>114</v>
      </c>
    </row>
    <row r="116" spans="1:15" ht="15.5" x14ac:dyDescent="0.35">
      <c r="A116" s="1" t="str">
        <f t="shared" si="4"/>
        <v>8-3</v>
      </c>
      <c r="B116" s="26">
        <v>115</v>
      </c>
      <c r="C116" s="37" t="s">
        <v>247</v>
      </c>
      <c r="D116" s="67" t="s">
        <v>248</v>
      </c>
      <c r="E116" s="68" t="s">
        <v>13</v>
      </c>
      <c r="F116" s="62" t="s">
        <v>232</v>
      </c>
      <c r="G116" s="63">
        <v>9</v>
      </c>
      <c r="H116" s="63" t="str">
        <f t="shared" si="5"/>
        <v>XI-4_9</v>
      </c>
      <c r="I116" s="63">
        <v>3</v>
      </c>
      <c r="J116" s="63" t="str">
        <f t="shared" si="6"/>
        <v>0082538589-115</v>
      </c>
      <c r="K116" s="63" t="str">
        <f t="shared" si="7"/>
        <v>0082538589-115</v>
      </c>
      <c r="L116" s="63">
        <v>8</v>
      </c>
      <c r="M116" s="64"/>
      <c r="N116" s="65"/>
      <c r="O116" s="66">
        <v>115</v>
      </c>
    </row>
    <row r="117" spans="1:15" ht="15.5" x14ac:dyDescent="0.35">
      <c r="A117" s="1" t="str">
        <f t="shared" si="4"/>
        <v>8-4</v>
      </c>
      <c r="B117" s="26">
        <v>116</v>
      </c>
      <c r="C117" s="37" t="s">
        <v>249</v>
      </c>
      <c r="D117" s="67" t="s">
        <v>250</v>
      </c>
      <c r="E117" s="68" t="s">
        <v>23</v>
      </c>
      <c r="F117" s="62" t="s">
        <v>232</v>
      </c>
      <c r="G117" s="63">
        <v>10</v>
      </c>
      <c r="H117" s="63" t="str">
        <f t="shared" si="5"/>
        <v>XI-4_10</v>
      </c>
      <c r="I117" s="63">
        <v>4</v>
      </c>
      <c r="J117" s="63" t="str">
        <f t="shared" si="6"/>
        <v>0084614367-116</v>
      </c>
      <c r="K117" s="63" t="str">
        <f t="shared" si="7"/>
        <v>0084614367-116</v>
      </c>
      <c r="L117" s="63">
        <v>8</v>
      </c>
      <c r="M117" s="64"/>
      <c r="N117" s="65"/>
      <c r="O117" s="66">
        <v>116</v>
      </c>
    </row>
    <row r="118" spans="1:15" ht="15.5" x14ac:dyDescent="0.35">
      <c r="A118" s="1" t="str">
        <f t="shared" si="4"/>
        <v>8-5</v>
      </c>
      <c r="B118" s="26">
        <v>117</v>
      </c>
      <c r="C118" s="37" t="s">
        <v>251</v>
      </c>
      <c r="D118" s="67" t="s">
        <v>252</v>
      </c>
      <c r="E118" s="68" t="s">
        <v>13</v>
      </c>
      <c r="F118" s="62" t="s">
        <v>232</v>
      </c>
      <c r="G118" s="63">
        <v>11</v>
      </c>
      <c r="H118" s="63" t="str">
        <f t="shared" si="5"/>
        <v>XI-4_11</v>
      </c>
      <c r="I118" s="63">
        <v>5</v>
      </c>
      <c r="J118" s="63" t="str">
        <f t="shared" si="6"/>
        <v>0092270233-117</v>
      </c>
      <c r="K118" s="63" t="str">
        <f t="shared" si="7"/>
        <v>0092270233-117</v>
      </c>
      <c r="L118" s="63">
        <v>8</v>
      </c>
      <c r="M118" s="64"/>
      <c r="N118" s="65"/>
      <c r="O118" s="66">
        <v>117</v>
      </c>
    </row>
    <row r="119" spans="1:15" ht="15.5" x14ac:dyDescent="0.35">
      <c r="A119" s="1" t="str">
        <f t="shared" si="4"/>
        <v>8-6</v>
      </c>
      <c r="B119" s="26">
        <v>118</v>
      </c>
      <c r="C119" s="37" t="s">
        <v>253</v>
      </c>
      <c r="D119" s="67" t="s">
        <v>254</v>
      </c>
      <c r="E119" s="68" t="s">
        <v>23</v>
      </c>
      <c r="F119" s="62" t="s">
        <v>232</v>
      </c>
      <c r="G119" s="63">
        <v>12</v>
      </c>
      <c r="H119" s="63" t="str">
        <f t="shared" si="5"/>
        <v>XI-4_12</v>
      </c>
      <c r="I119" s="63">
        <v>6</v>
      </c>
      <c r="J119" s="63" t="str">
        <f t="shared" si="6"/>
        <v>0097509890-118</v>
      </c>
      <c r="K119" s="63" t="str">
        <f t="shared" si="7"/>
        <v>0097509890-118</v>
      </c>
      <c r="L119" s="63">
        <v>8</v>
      </c>
      <c r="M119" s="64"/>
      <c r="N119" s="65"/>
      <c r="O119" s="66">
        <v>118</v>
      </c>
    </row>
    <row r="120" spans="1:15" ht="15.5" x14ac:dyDescent="0.35">
      <c r="A120" s="1" t="str">
        <f t="shared" si="4"/>
        <v>8-7</v>
      </c>
      <c r="B120" s="26">
        <v>119</v>
      </c>
      <c r="C120" s="37" t="s">
        <v>255</v>
      </c>
      <c r="D120" s="67" t="s">
        <v>256</v>
      </c>
      <c r="E120" s="68" t="s">
        <v>13</v>
      </c>
      <c r="F120" s="62" t="s">
        <v>232</v>
      </c>
      <c r="G120" s="63">
        <v>13</v>
      </c>
      <c r="H120" s="63" t="str">
        <f t="shared" si="5"/>
        <v>XI-4_13</v>
      </c>
      <c r="I120" s="63">
        <v>7</v>
      </c>
      <c r="J120" s="63" t="str">
        <f t="shared" si="6"/>
        <v>0092110717-119</v>
      </c>
      <c r="K120" s="63" t="str">
        <f t="shared" si="7"/>
        <v>0092110717-119</v>
      </c>
      <c r="L120" s="63">
        <v>8</v>
      </c>
      <c r="M120" s="64"/>
      <c r="N120" s="65"/>
      <c r="O120" s="66">
        <v>119</v>
      </c>
    </row>
    <row r="121" spans="1:15" ht="15.5" x14ac:dyDescent="0.35">
      <c r="A121" s="1" t="str">
        <f t="shared" si="4"/>
        <v>8-8</v>
      </c>
      <c r="B121" s="26">
        <v>120</v>
      </c>
      <c r="C121" s="37" t="s">
        <v>257</v>
      </c>
      <c r="D121" s="67" t="s">
        <v>258</v>
      </c>
      <c r="E121" s="68" t="s">
        <v>23</v>
      </c>
      <c r="F121" s="62" t="s">
        <v>232</v>
      </c>
      <c r="G121" s="63">
        <v>14</v>
      </c>
      <c r="H121" s="63" t="str">
        <f t="shared" si="5"/>
        <v>XI-4_14</v>
      </c>
      <c r="I121" s="63">
        <v>8</v>
      </c>
      <c r="J121" s="63" t="str">
        <f t="shared" si="6"/>
        <v>0092864399-120</v>
      </c>
      <c r="K121" s="63" t="str">
        <f t="shared" si="7"/>
        <v>0092864399-120</v>
      </c>
      <c r="L121" s="63">
        <v>8</v>
      </c>
      <c r="M121" s="64"/>
      <c r="N121" s="65"/>
      <c r="O121" s="66">
        <v>120</v>
      </c>
    </row>
    <row r="122" spans="1:15" ht="15.5" x14ac:dyDescent="0.35">
      <c r="A122" s="1" t="str">
        <f t="shared" si="4"/>
        <v>8-9</v>
      </c>
      <c r="B122" s="26">
        <v>121</v>
      </c>
      <c r="C122" s="37" t="s">
        <v>259</v>
      </c>
      <c r="D122" s="67" t="s">
        <v>260</v>
      </c>
      <c r="E122" s="68" t="s">
        <v>23</v>
      </c>
      <c r="F122" s="62" t="s">
        <v>232</v>
      </c>
      <c r="G122" s="63">
        <v>15</v>
      </c>
      <c r="H122" s="63" t="str">
        <f t="shared" si="5"/>
        <v>XI-4_15</v>
      </c>
      <c r="I122" s="63">
        <v>9</v>
      </c>
      <c r="J122" s="63" t="str">
        <f t="shared" si="6"/>
        <v>3096249848-121</v>
      </c>
      <c r="K122" s="63" t="str">
        <f t="shared" si="7"/>
        <v>3096249848-121</v>
      </c>
      <c r="L122" s="63">
        <v>8</v>
      </c>
      <c r="M122" s="64"/>
      <c r="N122" s="65"/>
      <c r="O122" s="66">
        <v>121</v>
      </c>
    </row>
    <row r="123" spans="1:15" ht="15.5" x14ac:dyDescent="0.35">
      <c r="A123" s="1" t="str">
        <f t="shared" si="4"/>
        <v>8-10</v>
      </c>
      <c r="B123" s="26">
        <v>122</v>
      </c>
      <c r="C123" s="37" t="s">
        <v>261</v>
      </c>
      <c r="D123" s="67" t="s">
        <v>262</v>
      </c>
      <c r="E123" s="68" t="s">
        <v>23</v>
      </c>
      <c r="F123" s="62" t="s">
        <v>232</v>
      </c>
      <c r="G123" s="63">
        <v>16</v>
      </c>
      <c r="H123" s="63" t="str">
        <f t="shared" si="5"/>
        <v>XI-4_16</v>
      </c>
      <c r="I123" s="63">
        <v>10</v>
      </c>
      <c r="J123" s="63" t="str">
        <f t="shared" si="6"/>
        <v>0098607007-122</v>
      </c>
      <c r="K123" s="63" t="str">
        <f t="shared" si="7"/>
        <v>0098607007-122</v>
      </c>
      <c r="L123" s="63">
        <v>8</v>
      </c>
      <c r="M123" s="64"/>
      <c r="N123" s="65"/>
      <c r="O123" s="66">
        <v>122</v>
      </c>
    </row>
    <row r="124" spans="1:15" ht="15.5" x14ac:dyDescent="0.35">
      <c r="A124" s="1" t="str">
        <f t="shared" si="4"/>
        <v>8-11</v>
      </c>
      <c r="B124" s="26">
        <v>123</v>
      </c>
      <c r="C124" s="37" t="s">
        <v>263</v>
      </c>
      <c r="D124" s="67" t="s">
        <v>264</v>
      </c>
      <c r="E124" s="68" t="s">
        <v>23</v>
      </c>
      <c r="F124" s="62" t="s">
        <v>232</v>
      </c>
      <c r="G124" s="63">
        <v>17</v>
      </c>
      <c r="H124" s="63" t="str">
        <f t="shared" si="5"/>
        <v>XI-4_17</v>
      </c>
      <c r="I124" s="63">
        <v>11</v>
      </c>
      <c r="J124" s="63" t="str">
        <f t="shared" si="6"/>
        <v>0086512402-123</v>
      </c>
      <c r="K124" s="63" t="str">
        <f t="shared" si="7"/>
        <v>0086512402-123</v>
      </c>
      <c r="L124" s="63">
        <v>8</v>
      </c>
      <c r="M124" s="64"/>
      <c r="N124" s="65"/>
      <c r="O124" s="66">
        <v>123</v>
      </c>
    </row>
    <row r="125" spans="1:15" ht="15.5" x14ac:dyDescent="0.35">
      <c r="A125" s="1" t="str">
        <f t="shared" si="4"/>
        <v>8-12</v>
      </c>
      <c r="B125" s="26">
        <v>124</v>
      </c>
      <c r="C125" s="37" t="s">
        <v>265</v>
      </c>
      <c r="D125" s="67" t="s">
        <v>266</v>
      </c>
      <c r="E125" s="68" t="s">
        <v>23</v>
      </c>
      <c r="F125" s="62" t="s">
        <v>232</v>
      </c>
      <c r="G125" s="63">
        <v>18</v>
      </c>
      <c r="H125" s="63" t="str">
        <f t="shared" si="5"/>
        <v>XI-4_18</v>
      </c>
      <c r="I125" s="63">
        <v>12</v>
      </c>
      <c r="J125" s="63" t="str">
        <f t="shared" si="6"/>
        <v>0095368408-124</v>
      </c>
      <c r="K125" s="63" t="str">
        <f t="shared" si="7"/>
        <v>0095368408-124</v>
      </c>
      <c r="L125" s="63">
        <v>8</v>
      </c>
      <c r="M125" s="64"/>
      <c r="N125" s="65"/>
      <c r="O125" s="66">
        <v>124</v>
      </c>
    </row>
    <row r="126" spans="1:15" ht="15.5" x14ac:dyDescent="0.35">
      <c r="A126" s="1" t="str">
        <f t="shared" si="4"/>
        <v>8-13</v>
      </c>
      <c r="B126" s="26">
        <v>125</v>
      </c>
      <c r="C126" s="37" t="s">
        <v>267</v>
      </c>
      <c r="D126" s="67" t="s">
        <v>268</v>
      </c>
      <c r="E126" s="68" t="s">
        <v>13</v>
      </c>
      <c r="F126" s="62" t="s">
        <v>232</v>
      </c>
      <c r="G126" s="63">
        <v>19</v>
      </c>
      <c r="H126" s="63" t="str">
        <f t="shared" si="5"/>
        <v>XI-4_19</v>
      </c>
      <c r="I126" s="63">
        <v>13</v>
      </c>
      <c r="J126" s="63" t="str">
        <f t="shared" si="6"/>
        <v>0099438153-125</v>
      </c>
      <c r="K126" s="63" t="str">
        <f t="shared" si="7"/>
        <v>0099438153-125</v>
      </c>
      <c r="L126" s="63">
        <v>8</v>
      </c>
      <c r="M126" s="64"/>
      <c r="N126" s="65"/>
      <c r="O126" s="66">
        <v>125</v>
      </c>
    </row>
    <row r="127" spans="1:15" ht="15.5" x14ac:dyDescent="0.35">
      <c r="A127" s="1" t="str">
        <f t="shared" si="4"/>
        <v>8-14</v>
      </c>
      <c r="B127" s="26">
        <v>126</v>
      </c>
      <c r="C127" s="37" t="s">
        <v>269</v>
      </c>
      <c r="D127" s="67" t="s">
        <v>270</v>
      </c>
      <c r="E127" s="68" t="s">
        <v>13</v>
      </c>
      <c r="F127" s="62" t="s">
        <v>232</v>
      </c>
      <c r="G127" s="63">
        <v>20</v>
      </c>
      <c r="H127" s="63" t="str">
        <f t="shared" si="5"/>
        <v>XI-4_20</v>
      </c>
      <c r="I127" s="63">
        <v>14</v>
      </c>
      <c r="J127" s="63" t="str">
        <f t="shared" si="6"/>
        <v>0088506409-126</v>
      </c>
      <c r="K127" s="63" t="str">
        <f t="shared" si="7"/>
        <v>0088506409-126</v>
      </c>
      <c r="L127" s="63">
        <v>8</v>
      </c>
      <c r="M127" s="64"/>
      <c r="N127" s="65"/>
      <c r="O127" s="66">
        <v>126</v>
      </c>
    </row>
    <row r="128" spans="1:15" ht="15.5" x14ac:dyDescent="0.35">
      <c r="A128" s="1" t="str">
        <f t="shared" si="4"/>
        <v>8-15</v>
      </c>
      <c r="B128" s="26">
        <v>127</v>
      </c>
      <c r="C128" s="37" t="s">
        <v>271</v>
      </c>
      <c r="D128" s="67" t="s">
        <v>272</v>
      </c>
      <c r="E128" s="68" t="s">
        <v>13</v>
      </c>
      <c r="F128" s="62" t="s">
        <v>232</v>
      </c>
      <c r="G128" s="63">
        <v>21</v>
      </c>
      <c r="H128" s="63" t="str">
        <f t="shared" si="5"/>
        <v>XI-4_21</v>
      </c>
      <c r="I128" s="63">
        <v>15</v>
      </c>
      <c r="J128" s="63" t="str">
        <f t="shared" si="6"/>
        <v>0091460408-127</v>
      </c>
      <c r="K128" s="63" t="str">
        <f t="shared" si="7"/>
        <v>0091460408-127</v>
      </c>
      <c r="L128" s="63">
        <v>8</v>
      </c>
      <c r="M128" s="64"/>
      <c r="N128" s="65"/>
      <c r="O128" s="66">
        <v>127</v>
      </c>
    </row>
    <row r="129" spans="1:16" ht="15.5" x14ac:dyDescent="0.35">
      <c r="A129" s="1" t="str">
        <f t="shared" si="4"/>
        <v>8-16</v>
      </c>
      <c r="B129" s="26">
        <v>128</v>
      </c>
      <c r="C129" s="37" t="s">
        <v>273</v>
      </c>
      <c r="D129" s="67" t="s">
        <v>274</v>
      </c>
      <c r="E129" s="68" t="s">
        <v>23</v>
      </c>
      <c r="F129" s="62" t="s">
        <v>232</v>
      </c>
      <c r="G129" s="63">
        <v>22</v>
      </c>
      <c r="H129" s="63" t="str">
        <f t="shared" si="5"/>
        <v>XI-4_22</v>
      </c>
      <c r="I129" s="63">
        <v>16</v>
      </c>
      <c r="J129" s="63" t="str">
        <f t="shared" si="6"/>
        <v>3084841059-128</v>
      </c>
      <c r="K129" s="63" t="str">
        <f t="shared" si="7"/>
        <v>3084841059-128</v>
      </c>
      <c r="L129" s="63">
        <v>8</v>
      </c>
      <c r="M129" s="64"/>
      <c r="N129" s="65"/>
      <c r="O129" s="66">
        <v>128</v>
      </c>
    </row>
    <row r="130" spans="1:16" ht="15.5" x14ac:dyDescent="0.35">
      <c r="A130" s="1" t="str">
        <f t="shared" ref="A130:A193" si="8">L130&amp;"-"&amp;I130</f>
        <v>9-1</v>
      </c>
      <c r="B130" s="26">
        <v>129</v>
      </c>
      <c r="C130" s="37" t="s">
        <v>275</v>
      </c>
      <c r="D130" s="67" t="s">
        <v>276</v>
      </c>
      <c r="E130" s="68" t="s">
        <v>13</v>
      </c>
      <c r="F130" s="62" t="s">
        <v>232</v>
      </c>
      <c r="G130" s="63">
        <v>23</v>
      </c>
      <c r="H130" s="63" t="str">
        <f t="shared" ref="H130:H193" si="9">F130&amp;"_"&amp;G130</f>
        <v>XI-4_23</v>
      </c>
      <c r="I130" s="70">
        <v>1</v>
      </c>
      <c r="J130" s="70" t="str">
        <f t="shared" ref="J130:J193" si="10">C130&amp;"-"&amp;B130</f>
        <v>0088446648-129</v>
      </c>
      <c r="K130" s="70" t="str">
        <f t="shared" ref="K130:K193" si="11">C130&amp;"-"&amp;B130</f>
        <v>0088446648-129</v>
      </c>
      <c r="L130" s="70">
        <v>9</v>
      </c>
      <c r="M130" s="64"/>
      <c r="N130" s="65"/>
      <c r="O130" s="66">
        <v>129</v>
      </c>
    </row>
    <row r="131" spans="1:16" ht="15.5" x14ac:dyDescent="0.35">
      <c r="A131" s="1" t="str">
        <f t="shared" si="8"/>
        <v>9-2</v>
      </c>
      <c r="B131" s="26">
        <v>130</v>
      </c>
      <c r="C131" s="37" t="s">
        <v>277</v>
      </c>
      <c r="D131" s="67" t="s">
        <v>278</v>
      </c>
      <c r="E131" s="68" t="s">
        <v>23</v>
      </c>
      <c r="F131" s="62" t="s">
        <v>232</v>
      </c>
      <c r="G131" s="63">
        <v>24</v>
      </c>
      <c r="H131" s="63" t="str">
        <f t="shared" si="9"/>
        <v>XI-4_24</v>
      </c>
      <c r="I131" s="70">
        <v>2</v>
      </c>
      <c r="J131" s="70" t="str">
        <f t="shared" si="10"/>
        <v>0086180769-130</v>
      </c>
      <c r="K131" s="70" t="str">
        <f t="shared" si="11"/>
        <v>0086180769-130</v>
      </c>
      <c r="L131" s="70">
        <v>9</v>
      </c>
      <c r="M131" s="64"/>
      <c r="N131" s="65"/>
      <c r="O131" s="66">
        <v>130</v>
      </c>
    </row>
    <row r="132" spans="1:16" ht="15.5" x14ac:dyDescent="0.35">
      <c r="A132" s="1" t="str">
        <f t="shared" si="8"/>
        <v>9-3</v>
      </c>
      <c r="B132" s="26">
        <v>131</v>
      </c>
      <c r="C132" s="37" t="s">
        <v>279</v>
      </c>
      <c r="D132" s="67" t="s">
        <v>280</v>
      </c>
      <c r="E132" s="68" t="s">
        <v>13</v>
      </c>
      <c r="F132" s="62" t="s">
        <v>232</v>
      </c>
      <c r="G132" s="63">
        <v>25</v>
      </c>
      <c r="H132" s="63" t="str">
        <f t="shared" si="9"/>
        <v>XI-4_25</v>
      </c>
      <c r="I132" s="70">
        <v>3</v>
      </c>
      <c r="J132" s="70" t="str">
        <f t="shared" si="10"/>
        <v>0099308383-131</v>
      </c>
      <c r="K132" s="70" t="str">
        <f t="shared" si="11"/>
        <v>0099308383-131</v>
      </c>
      <c r="L132" s="70">
        <v>9</v>
      </c>
      <c r="M132" s="64" t="s">
        <v>281</v>
      </c>
      <c r="N132" s="65"/>
      <c r="O132" s="66">
        <v>131</v>
      </c>
    </row>
    <row r="133" spans="1:16" ht="15.5" x14ac:dyDescent="0.35">
      <c r="A133" s="1" t="str">
        <f t="shared" si="8"/>
        <v>9-4</v>
      </c>
      <c r="B133" s="26">
        <v>132</v>
      </c>
      <c r="C133" s="37" t="s">
        <v>282</v>
      </c>
      <c r="D133" s="67" t="s">
        <v>283</v>
      </c>
      <c r="E133" s="68" t="s">
        <v>13</v>
      </c>
      <c r="F133" s="71" t="s">
        <v>232</v>
      </c>
      <c r="G133" s="63">
        <v>26</v>
      </c>
      <c r="H133" s="63" t="str">
        <f t="shared" si="9"/>
        <v>XI-4_26</v>
      </c>
      <c r="I133" s="70">
        <v>4</v>
      </c>
      <c r="J133" s="70" t="str">
        <f t="shared" si="10"/>
        <v>0096577109-132</v>
      </c>
      <c r="K133" s="70" t="str">
        <f t="shared" si="11"/>
        <v>0096577109-132</v>
      </c>
      <c r="L133" s="70">
        <v>9</v>
      </c>
      <c r="M133" s="64"/>
      <c r="N133" s="65"/>
      <c r="O133" s="66">
        <v>132</v>
      </c>
    </row>
    <row r="134" spans="1:16" ht="15.5" x14ac:dyDescent="0.35">
      <c r="A134" s="1" t="str">
        <f t="shared" si="8"/>
        <v>9-5</v>
      </c>
      <c r="B134" s="26">
        <v>133</v>
      </c>
      <c r="C134" s="37" t="s">
        <v>284</v>
      </c>
      <c r="D134" s="67" t="s">
        <v>285</v>
      </c>
      <c r="E134" s="68" t="s">
        <v>13</v>
      </c>
      <c r="F134" s="62" t="s">
        <v>232</v>
      </c>
      <c r="G134" s="63">
        <v>27</v>
      </c>
      <c r="H134" s="63" t="str">
        <f t="shared" si="9"/>
        <v>XI-4_27</v>
      </c>
      <c r="I134" s="70">
        <v>5</v>
      </c>
      <c r="J134" s="70" t="str">
        <f t="shared" si="10"/>
        <v>0095151992-133</v>
      </c>
      <c r="K134" s="70" t="str">
        <f t="shared" si="11"/>
        <v>0095151992-133</v>
      </c>
      <c r="L134" s="70">
        <v>9</v>
      </c>
      <c r="M134" s="64"/>
      <c r="N134" s="65"/>
      <c r="O134" s="66">
        <v>133</v>
      </c>
    </row>
    <row r="135" spans="1:16" ht="15.5" x14ac:dyDescent="0.35">
      <c r="A135" s="1" t="str">
        <f t="shared" si="8"/>
        <v>9-6</v>
      </c>
      <c r="B135" s="26">
        <v>134</v>
      </c>
      <c r="C135" s="37" t="s">
        <v>286</v>
      </c>
      <c r="D135" s="67" t="s">
        <v>287</v>
      </c>
      <c r="E135" s="68" t="s">
        <v>13</v>
      </c>
      <c r="F135" s="62" t="s">
        <v>232</v>
      </c>
      <c r="G135" s="63">
        <v>28</v>
      </c>
      <c r="H135" s="63" t="str">
        <f t="shared" si="9"/>
        <v>XI-4_28</v>
      </c>
      <c r="I135" s="70">
        <v>6</v>
      </c>
      <c r="J135" s="70" t="str">
        <f t="shared" si="10"/>
        <v>0095708022-134</v>
      </c>
      <c r="K135" s="70" t="str">
        <f t="shared" si="11"/>
        <v>0095708022-134</v>
      </c>
      <c r="L135" s="70">
        <v>9</v>
      </c>
      <c r="M135" s="64"/>
      <c r="N135" s="65"/>
      <c r="O135" s="66">
        <v>134</v>
      </c>
    </row>
    <row r="136" spans="1:16" ht="15.5" x14ac:dyDescent="0.35">
      <c r="A136" s="1" t="str">
        <f t="shared" si="8"/>
        <v>9-7</v>
      </c>
      <c r="B136" s="26">
        <v>135</v>
      </c>
      <c r="C136" s="37" t="s">
        <v>288</v>
      </c>
      <c r="D136" s="67" t="s">
        <v>289</v>
      </c>
      <c r="E136" s="68" t="s">
        <v>13</v>
      </c>
      <c r="F136" s="62" t="s">
        <v>232</v>
      </c>
      <c r="G136" s="63">
        <v>29</v>
      </c>
      <c r="H136" s="63" t="str">
        <f t="shared" si="9"/>
        <v>XI-4_29</v>
      </c>
      <c r="I136" s="70">
        <v>7</v>
      </c>
      <c r="J136" s="70" t="str">
        <f t="shared" si="10"/>
        <v>0085434703-135</v>
      </c>
      <c r="K136" s="70" t="str">
        <f t="shared" si="11"/>
        <v>0085434703-135</v>
      </c>
      <c r="L136" s="70">
        <v>9</v>
      </c>
      <c r="M136" s="64"/>
      <c r="N136" s="65"/>
      <c r="O136" s="66">
        <v>135</v>
      </c>
    </row>
    <row r="137" spans="1:16" ht="15.5" x14ac:dyDescent="0.35">
      <c r="A137" s="1" t="str">
        <f t="shared" si="8"/>
        <v>9-8</v>
      </c>
      <c r="B137" s="26">
        <v>136</v>
      </c>
      <c r="C137" s="37" t="s">
        <v>290</v>
      </c>
      <c r="D137" s="67" t="s">
        <v>291</v>
      </c>
      <c r="E137" s="68" t="s">
        <v>13</v>
      </c>
      <c r="F137" s="62" t="s">
        <v>232</v>
      </c>
      <c r="G137" s="63">
        <v>30</v>
      </c>
      <c r="H137" s="63" t="str">
        <f t="shared" si="9"/>
        <v>XI-4_30</v>
      </c>
      <c r="I137" s="70">
        <v>8</v>
      </c>
      <c r="J137" s="70" t="str">
        <f t="shared" si="10"/>
        <v>0084969627-136</v>
      </c>
      <c r="K137" s="70" t="str">
        <f t="shared" si="11"/>
        <v>0084969627-136</v>
      </c>
      <c r="L137" s="70">
        <v>9</v>
      </c>
      <c r="M137" s="64"/>
      <c r="N137" s="65"/>
      <c r="O137" s="66">
        <v>136</v>
      </c>
    </row>
    <row r="138" spans="1:16" x14ac:dyDescent="0.35">
      <c r="A138" s="1" t="str">
        <f t="shared" si="8"/>
        <v>9-9</v>
      </c>
      <c r="B138" s="26">
        <v>137</v>
      </c>
      <c r="C138" s="72" t="s">
        <v>292</v>
      </c>
      <c r="D138" s="73" t="s">
        <v>293</v>
      </c>
      <c r="E138" s="74" t="s">
        <v>13</v>
      </c>
      <c r="F138" s="62" t="s">
        <v>232</v>
      </c>
      <c r="G138" s="63">
        <v>31</v>
      </c>
      <c r="H138" s="63" t="str">
        <f t="shared" si="9"/>
        <v>XI-4_31</v>
      </c>
      <c r="I138" s="70">
        <v>9</v>
      </c>
      <c r="J138" s="70" t="str">
        <f t="shared" si="10"/>
        <v>0098038849-137</v>
      </c>
      <c r="K138" s="70" t="str">
        <f t="shared" si="11"/>
        <v>0098038849-137</v>
      </c>
      <c r="L138" s="70">
        <v>9</v>
      </c>
      <c r="M138" s="64"/>
      <c r="N138" s="65"/>
      <c r="O138" s="66">
        <v>137</v>
      </c>
    </row>
    <row r="139" spans="1:16" ht="15.5" x14ac:dyDescent="0.35">
      <c r="A139" s="1" t="str">
        <f t="shared" si="8"/>
        <v>9-10</v>
      </c>
      <c r="B139" s="26">
        <v>138</v>
      </c>
      <c r="C139" s="27" t="s">
        <v>294</v>
      </c>
      <c r="D139" s="75" t="s">
        <v>295</v>
      </c>
      <c r="E139" s="76" t="s">
        <v>13</v>
      </c>
      <c r="F139" s="77" t="s">
        <v>296</v>
      </c>
      <c r="G139" s="78">
        <v>1</v>
      </c>
      <c r="H139" s="78" t="str">
        <f t="shared" si="9"/>
        <v>XI-5_1</v>
      </c>
      <c r="I139" s="70">
        <v>10</v>
      </c>
      <c r="J139" s="70" t="str">
        <f t="shared" si="10"/>
        <v>0099670789-138</v>
      </c>
      <c r="K139" s="70" t="str">
        <f t="shared" si="11"/>
        <v>0099670789-138</v>
      </c>
      <c r="L139" s="70">
        <v>9</v>
      </c>
      <c r="M139" s="79"/>
      <c r="N139" s="80"/>
      <c r="O139" s="81">
        <v>138</v>
      </c>
    </row>
    <row r="140" spans="1:16" ht="15.5" x14ac:dyDescent="0.35">
      <c r="A140" s="1" t="str">
        <f t="shared" si="8"/>
        <v>9-11</v>
      </c>
      <c r="B140" s="26">
        <v>139</v>
      </c>
      <c r="C140" s="27" t="s">
        <v>297</v>
      </c>
      <c r="D140" s="75" t="s">
        <v>298</v>
      </c>
      <c r="E140" s="76" t="s">
        <v>23</v>
      </c>
      <c r="F140" s="77" t="s">
        <v>296</v>
      </c>
      <c r="G140" s="78">
        <v>2</v>
      </c>
      <c r="H140" s="78" t="str">
        <f t="shared" si="9"/>
        <v>XI-5_2</v>
      </c>
      <c r="I140" s="70">
        <v>11</v>
      </c>
      <c r="J140" s="70" t="str">
        <f t="shared" si="10"/>
        <v>0089674896-139</v>
      </c>
      <c r="K140" s="70" t="str">
        <f t="shared" si="11"/>
        <v>0089674896-139</v>
      </c>
      <c r="L140" s="70">
        <v>9</v>
      </c>
      <c r="M140" s="79"/>
      <c r="N140" s="80"/>
      <c r="O140" s="81">
        <v>139</v>
      </c>
      <c r="P140" s="82"/>
    </row>
    <row r="141" spans="1:16" ht="15.5" x14ac:dyDescent="0.35">
      <c r="A141" s="1" t="str">
        <f t="shared" si="8"/>
        <v>9-12</v>
      </c>
      <c r="B141" s="26">
        <v>140</v>
      </c>
      <c r="C141" s="27" t="s">
        <v>299</v>
      </c>
      <c r="D141" s="75" t="s">
        <v>300</v>
      </c>
      <c r="E141" s="76" t="s">
        <v>13</v>
      </c>
      <c r="F141" s="77" t="s">
        <v>296</v>
      </c>
      <c r="G141" s="78">
        <v>3</v>
      </c>
      <c r="H141" s="78" t="str">
        <f t="shared" si="9"/>
        <v>XI-5_3</v>
      </c>
      <c r="I141" s="70">
        <v>12</v>
      </c>
      <c r="J141" s="70" t="str">
        <f t="shared" si="10"/>
        <v>0082726025-140</v>
      </c>
      <c r="K141" s="70" t="str">
        <f t="shared" si="11"/>
        <v>0082726025-140</v>
      </c>
      <c r="L141" s="70">
        <v>9</v>
      </c>
      <c r="M141" s="79"/>
      <c r="N141" s="80"/>
      <c r="O141" s="81">
        <v>140</v>
      </c>
    </row>
    <row r="142" spans="1:16" ht="15.5" x14ac:dyDescent="0.35">
      <c r="A142" s="1" t="str">
        <f t="shared" si="8"/>
        <v>9-13</v>
      </c>
      <c r="B142" s="26">
        <v>141</v>
      </c>
      <c r="C142" s="27" t="s">
        <v>301</v>
      </c>
      <c r="D142" s="75" t="s">
        <v>302</v>
      </c>
      <c r="E142" s="76" t="s">
        <v>13</v>
      </c>
      <c r="F142" s="77" t="s">
        <v>296</v>
      </c>
      <c r="G142" s="78">
        <v>4</v>
      </c>
      <c r="H142" s="78" t="str">
        <f t="shared" si="9"/>
        <v>XI-5_4</v>
      </c>
      <c r="I142" s="70">
        <v>13</v>
      </c>
      <c r="J142" s="70" t="str">
        <f t="shared" si="10"/>
        <v>0099925242-141</v>
      </c>
      <c r="K142" s="70" t="str">
        <f t="shared" si="11"/>
        <v>0099925242-141</v>
      </c>
      <c r="L142" s="70">
        <v>9</v>
      </c>
      <c r="M142" s="79"/>
      <c r="N142" s="80"/>
      <c r="O142" s="81">
        <v>141</v>
      </c>
    </row>
    <row r="143" spans="1:16" ht="15.5" x14ac:dyDescent="0.35">
      <c r="A143" s="1" t="str">
        <f t="shared" si="8"/>
        <v>9-14</v>
      </c>
      <c r="B143" s="26">
        <v>142</v>
      </c>
      <c r="C143" s="27" t="s">
        <v>303</v>
      </c>
      <c r="D143" s="75" t="s">
        <v>304</v>
      </c>
      <c r="E143" s="76" t="s">
        <v>13</v>
      </c>
      <c r="F143" s="77" t="s">
        <v>296</v>
      </c>
      <c r="G143" s="78">
        <v>5</v>
      </c>
      <c r="H143" s="78" t="str">
        <f t="shared" si="9"/>
        <v>XI-5_5</v>
      </c>
      <c r="I143" s="70">
        <v>14</v>
      </c>
      <c r="J143" s="70" t="str">
        <f t="shared" si="10"/>
        <v>0099129876-142</v>
      </c>
      <c r="K143" s="70" t="str">
        <f t="shared" si="11"/>
        <v>0099129876-142</v>
      </c>
      <c r="L143" s="70">
        <v>9</v>
      </c>
      <c r="M143" s="79"/>
      <c r="N143" s="80"/>
      <c r="O143" s="81">
        <v>142</v>
      </c>
    </row>
    <row r="144" spans="1:16" ht="15.5" x14ac:dyDescent="0.35">
      <c r="A144" s="1" t="str">
        <f t="shared" si="8"/>
        <v>9-15</v>
      </c>
      <c r="B144" s="26">
        <v>143</v>
      </c>
      <c r="C144" s="37" t="s">
        <v>305</v>
      </c>
      <c r="D144" s="83" t="s">
        <v>306</v>
      </c>
      <c r="E144" s="84" t="s">
        <v>23</v>
      </c>
      <c r="F144" s="77" t="s">
        <v>296</v>
      </c>
      <c r="G144" s="78">
        <v>6</v>
      </c>
      <c r="H144" s="78" t="str">
        <f t="shared" si="9"/>
        <v>XI-5_6</v>
      </c>
      <c r="I144" s="70">
        <v>15</v>
      </c>
      <c r="J144" s="70" t="str">
        <f t="shared" si="10"/>
        <v>3085559546-143</v>
      </c>
      <c r="K144" s="70" t="str">
        <f t="shared" si="11"/>
        <v>3085559546-143</v>
      </c>
      <c r="L144" s="70">
        <v>9</v>
      </c>
      <c r="M144" s="79"/>
      <c r="N144" s="80"/>
      <c r="O144" s="81">
        <v>143</v>
      </c>
    </row>
    <row r="145" spans="1:15" ht="15.5" x14ac:dyDescent="0.35">
      <c r="A145" s="1" t="str">
        <f t="shared" si="8"/>
        <v>9-16</v>
      </c>
      <c r="B145" s="26">
        <v>144</v>
      </c>
      <c r="C145" s="37" t="s">
        <v>307</v>
      </c>
      <c r="D145" s="83" t="s">
        <v>308</v>
      </c>
      <c r="E145" s="84" t="s">
        <v>13</v>
      </c>
      <c r="F145" s="77" t="s">
        <v>296</v>
      </c>
      <c r="G145" s="78">
        <v>7</v>
      </c>
      <c r="H145" s="78" t="str">
        <f t="shared" si="9"/>
        <v>XI-5_7</v>
      </c>
      <c r="I145" s="70">
        <v>16</v>
      </c>
      <c r="J145" s="70" t="str">
        <f t="shared" si="10"/>
        <v>0087769378-144</v>
      </c>
      <c r="K145" s="70" t="str">
        <f t="shared" si="11"/>
        <v>0087769378-144</v>
      </c>
      <c r="L145" s="70">
        <v>9</v>
      </c>
      <c r="M145" s="79"/>
      <c r="N145" s="80"/>
      <c r="O145" s="81">
        <v>144</v>
      </c>
    </row>
    <row r="146" spans="1:15" ht="15.5" x14ac:dyDescent="0.35">
      <c r="A146" s="1" t="str">
        <f t="shared" si="8"/>
        <v>10-1</v>
      </c>
      <c r="B146" s="26">
        <v>145</v>
      </c>
      <c r="C146" s="37" t="s">
        <v>309</v>
      </c>
      <c r="D146" s="83" t="s">
        <v>310</v>
      </c>
      <c r="E146" s="84" t="s">
        <v>13</v>
      </c>
      <c r="F146" s="77" t="s">
        <v>296</v>
      </c>
      <c r="G146" s="78">
        <v>8</v>
      </c>
      <c r="H146" s="78" t="str">
        <f t="shared" si="9"/>
        <v>XI-5_8</v>
      </c>
      <c r="I146" s="85">
        <v>1</v>
      </c>
      <c r="J146" s="85" t="str">
        <f t="shared" si="10"/>
        <v>0092776062-145</v>
      </c>
      <c r="K146" s="85" t="str">
        <f t="shared" si="11"/>
        <v>0092776062-145</v>
      </c>
      <c r="L146" s="85">
        <v>10</v>
      </c>
      <c r="M146" s="79"/>
      <c r="N146" s="80"/>
      <c r="O146" s="81">
        <v>145</v>
      </c>
    </row>
    <row r="147" spans="1:15" ht="15.5" x14ac:dyDescent="0.35">
      <c r="A147" s="1" t="str">
        <f t="shared" si="8"/>
        <v>10-2</v>
      </c>
      <c r="B147" s="26">
        <v>146</v>
      </c>
      <c r="C147" s="41" t="s">
        <v>311</v>
      </c>
      <c r="D147" s="86" t="s">
        <v>312</v>
      </c>
      <c r="E147" s="87" t="s">
        <v>13</v>
      </c>
      <c r="F147" s="77" t="s">
        <v>296</v>
      </c>
      <c r="G147" s="78">
        <v>9</v>
      </c>
      <c r="H147" s="78" t="str">
        <f t="shared" si="9"/>
        <v>XI-5_9</v>
      </c>
      <c r="I147" s="85">
        <v>2</v>
      </c>
      <c r="J147" s="85" t="str">
        <f t="shared" si="10"/>
        <v>0081011768-146</v>
      </c>
      <c r="K147" s="85" t="str">
        <f t="shared" si="11"/>
        <v>0081011768-146</v>
      </c>
      <c r="L147" s="85">
        <v>10</v>
      </c>
      <c r="M147" s="79"/>
      <c r="N147" s="80"/>
      <c r="O147" s="81">
        <v>146</v>
      </c>
    </row>
    <row r="148" spans="1:15" ht="15.5" x14ac:dyDescent="0.35">
      <c r="A148" s="1" t="str">
        <f t="shared" si="8"/>
        <v>10-3</v>
      </c>
      <c r="B148" s="26">
        <v>147</v>
      </c>
      <c r="C148" s="41" t="s">
        <v>313</v>
      </c>
      <c r="D148" s="88" t="s">
        <v>314</v>
      </c>
      <c r="E148" s="84" t="s">
        <v>13</v>
      </c>
      <c r="F148" s="77" t="s">
        <v>296</v>
      </c>
      <c r="G148" s="78">
        <v>10</v>
      </c>
      <c r="H148" s="78" t="str">
        <f t="shared" si="9"/>
        <v>XI-5_10</v>
      </c>
      <c r="I148" s="85">
        <v>3</v>
      </c>
      <c r="J148" s="85" t="str">
        <f t="shared" si="10"/>
        <v>0099662423-147</v>
      </c>
      <c r="K148" s="85" t="str">
        <f t="shared" si="11"/>
        <v>0099662423-147</v>
      </c>
      <c r="L148" s="85">
        <v>10</v>
      </c>
      <c r="M148" s="79"/>
      <c r="N148" s="80"/>
      <c r="O148" s="81">
        <v>147</v>
      </c>
    </row>
    <row r="149" spans="1:15" ht="15.5" x14ac:dyDescent="0.35">
      <c r="A149" s="1" t="str">
        <f t="shared" si="8"/>
        <v>10-4</v>
      </c>
      <c r="B149" s="26">
        <v>148</v>
      </c>
      <c r="C149" s="37" t="s">
        <v>315</v>
      </c>
      <c r="D149" s="83" t="s">
        <v>316</v>
      </c>
      <c r="E149" s="84" t="s">
        <v>13</v>
      </c>
      <c r="F149" s="77" t="s">
        <v>296</v>
      </c>
      <c r="G149" s="78">
        <v>11</v>
      </c>
      <c r="H149" s="78" t="str">
        <f t="shared" si="9"/>
        <v>XI-5_11</v>
      </c>
      <c r="I149" s="85">
        <v>4</v>
      </c>
      <c r="J149" s="85" t="str">
        <f t="shared" si="10"/>
        <v>0085632550-148</v>
      </c>
      <c r="K149" s="85" t="str">
        <f t="shared" si="11"/>
        <v>0085632550-148</v>
      </c>
      <c r="L149" s="85">
        <v>10</v>
      </c>
      <c r="M149" s="79"/>
      <c r="N149" s="80"/>
      <c r="O149" s="81">
        <v>148</v>
      </c>
    </row>
    <row r="150" spans="1:15" ht="15.5" x14ac:dyDescent="0.35">
      <c r="A150" s="1" t="str">
        <f t="shared" si="8"/>
        <v>10-5</v>
      </c>
      <c r="B150" s="26">
        <v>149</v>
      </c>
      <c r="C150" s="37" t="s">
        <v>317</v>
      </c>
      <c r="D150" s="83" t="s">
        <v>318</v>
      </c>
      <c r="E150" s="84" t="s">
        <v>13</v>
      </c>
      <c r="F150" s="77" t="s">
        <v>296</v>
      </c>
      <c r="G150" s="78">
        <v>12</v>
      </c>
      <c r="H150" s="78" t="str">
        <f t="shared" si="9"/>
        <v>XI-5_12</v>
      </c>
      <c r="I150" s="85">
        <v>5</v>
      </c>
      <c r="J150" s="85" t="str">
        <f t="shared" si="10"/>
        <v>0097581390-149</v>
      </c>
      <c r="K150" s="85" t="str">
        <f t="shared" si="11"/>
        <v>0097581390-149</v>
      </c>
      <c r="L150" s="85">
        <v>10</v>
      </c>
      <c r="M150" s="79"/>
      <c r="N150" s="80"/>
      <c r="O150" s="81">
        <v>149</v>
      </c>
    </row>
    <row r="151" spans="1:15" ht="15.5" x14ac:dyDescent="0.35">
      <c r="A151" s="1" t="str">
        <f t="shared" si="8"/>
        <v>10-6</v>
      </c>
      <c r="B151" s="26">
        <v>150</v>
      </c>
      <c r="C151" s="37" t="s">
        <v>319</v>
      </c>
      <c r="D151" s="83" t="s">
        <v>320</v>
      </c>
      <c r="E151" s="84" t="s">
        <v>23</v>
      </c>
      <c r="F151" s="77" t="s">
        <v>296</v>
      </c>
      <c r="G151" s="78">
        <v>13</v>
      </c>
      <c r="H151" s="78" t="str">
        <f t="shared" si="9"/>
        <v>XI-5_13</v>
      </c>
      <c r="I151" s="85">
        <v>6</v>
      </c>
      <c r="J151" s="85" t="str">
        <f t="shared" si="10"/>
        <v>0094766827-150</v>
      </c>
      <c r="K151" s="85" t="str">
        <f t="shared" si="11"/>
        <v>0094766827-150</v>
      </c>
      <c r="L151" s="85">
        <v>10</v>
      </c>
      <c r="M151" s="79"/>
      <c r="N151" s="80"/>
      <c r="O151" s="81">
        <v>150</v>
      </c>
    </row>
    <row r="152" spans="1:15" ht="15.5" x14ac:dyDescent="0.35">
      <c r="A152" s="1" t="str">
        <f t="shared" si="8"/>
        <v>10-7</v>
      </c>
      <c r="B152" s="26">
        <v>151</v>
      </c>
      <c r="C152" s="37" t="s">
        <v>321</v>
      </c>
      <c r="D152" s="83" t="s">
        <v>322</v>
      </c>
      <c r="E152" s="84" t="s">
        <v>23</v>
      </c>
      <c r="F152" s="77" t="s">
        <v>296</v>
      </c>
      <c r="G152" s="78">
        <v>14</v>
      </c>
      <c r="H152" s="78" t="str">
        <f t="shared" si="9"/>
        <v>XI-5_14</v>
      </c>
      <c r="I152" s="85">
        <v>7</v>
      </c>
      <c r="J152" s="85" t="str">
        <f t="shared" si="10"/>
        <v>0096982428-151</v>
      </c>
      <c r="K152" s="85" t="str">
        <f t="shared" si="11"/>
        <v>0096982428-151</v>
      </c>
      <c r="L152" s="85">
        <v>10</v>
      </c>
      <c r="M152" s="79"/>
      <c r="N152" s="80"/>
      <c r="O152" s="81">
        <v>151</v>
      </c>
    </row>
    <row r="153" spans="1:15" ht="15.5" x14ac:dyDescent="0.35">
      <c r="A153" s="1" t="str">
        <f t="shared" si="8"/>
        <v>10-8</v>
      </c>
      <c r="B153" s="26">
        <v>152</v>
      </c>
      <c r="C153" s="37" t="s">
        <v>323</v>
      </c>
      <c r="D153" s="83" t="s">
        <v>324</v>
      </c>
      <c r="E153" s="84" t="s">
        <v>23</v>
      </c>
      <c r="F153" s="77" t="s">
        <v>296</v>
      </c>
      <c r="G153" s="78">
        <v>15</v>
      </c>
      <c r="H153" s="78" t="str">
        <f t="shared" si="9"/>
        <v>XI-5_15</v>
      </c>
      <c r="I153" s="85">
        <v>8</v>
      </c>
      <c r="J153" s="85" t="str">
        <f t="shared" si="10"/>
        <v>3085675824-152</v>
      </c>
      <c r="K153" s="85" t="str">
        <f t="shared" si="11"/>
        <v>3085675824-152</v>
      </c>
      <c r="L153" s="85">
        <v>10</v>
      </c>
      <c r="M153" s="79"/>
      <c r="N153" s="80"/>
      <c r="O153" s="81">
        <v>152</v>
      </c>
    </row>
    <row r="154" spans="1:15" ht="15.5" x14ac:dyDescent="0.35">
      <c r="A154" s="1" t="str">
        <f t="shared" si="8"/>
        <v>10-9</v>
      </c>
      <c r="B154" s="26">
        <v>153</v>
      </c>
      <c r="C154" s="37" t="s">
        <v>325</v>
      </c>
      <c r="D154" s="83" t="s">
        <v>326</v>
      </c>
      <c r="E154" s="84" t="s">
        <v>13</v>
      </c>
      <c r="F154" s="77" t="s">
        <v>296</v>
      </c>
      <c r="G154" s="78">
        <v>16</v>
      </c>
      <c r="H154" s="78" t="str">
        <f t="shared" si="9"/>
        <v>XI-5_16</v>
      </c>
      <c r="I154" s="85">
        <v>9</v>
      </c>
      <c r="J154" s="85" t="str">
        <f t="shared" si="10"/>
        <v>0086475056-153</v>
      </c>
      <c r="K154" s="85" t="str">
        <f t="shared" si="11"/>
        <v>0086475056-153</v>
      </c>
      <c r="L154" s="85">
        <v>10</v>
      </c>
      <c r="M154" s="79"/>
      <c r="N154" s="80"/>
      <c r="O154" s="81">
        <v>153</v>
      </c>
    </row>
    <row r="155" spans="1:15" ht="15.5" x14ac:dyDescent="0.35">
      <c r="A155" s="1" t="str">
        <f t="shared" si="8"/>
        <v>10-10</v>
      </c>
      <c r="B155" s="26">
        <v>154</v>
      </c>
      <c r="C155" s="37" t="s">
        <v>327</v>
      </c>
      <c r="D155" s="83" t="s">
        <v>328</v>
      </c>
      <c r="E155" s="84" t="s">
        <v>13</v>
      </c>
      <c r="F155" s="77" t="s">
        <v>296</v>
      </c>
      <c r="G155" s="78">
        <v>17</v>
      </c>
      <c r="H155" s="78" t="str">
        <f t="shared" si="9"/>
        <v>XI-5_17</v>
      </c>
      <c r="I155" s="85">
        <v>10</v>
      </c>
      <c r="J155" s="85" t="str">
        <f t="shared" si="10"/>
        <v>0082369663-154</v>
      </c>
      <c r="K155" s="85" t="str">
        <f t="shared" si="11"/>
        <v>0082369663-154</v>
      </c>
      <c r="L155" s="85">
        <v>10</v>
      </c>
      <c r="M155" s="79"/>
      <c r="N155" s="80"/>
      <c r="O155" s="81">
        <v>154</v>
      </c>
    </row>
    <row r="156" spans="1:15" ht="15.5" x14ac:dyDescent="0.35">
      <c r="A156" s="1" t="str">
        <f t="shared" si="8"/>
        <v>10-11</v>
      </c>
      <c r="B156" s="26">
        <v>155</v>
      </c>
      <c r="C156" s="37" t="s">
        <v>329</v>
      </c>
      <c r="D156" s="83" t="s">
        <v>330</v>
      </c>
      <c r="E156" s="84" t="s">
        <v>13</v>
      </c>
      <c r="F156" s="77" t="s">
        <v>296</v>
      </c>
      <c r="G156" s="78">
        <v>18</v>
      </c>
      <c r="H156" s="78" t="str">
        <f t="shared" si="9"/>
        <v>XI-5_18</v>
      </c>
      <c r="I156" s="85">
        <v>11</v>
      </c>
      <c r="J156" s="85" t="str">
        <f t="shared" si="10"/>
        <v>0098242479-155</v>
      </c>
      <c r="K156" s="85" t="str">
        <f t="shared" si="11"/>
        <v>0098242479-155</v>
      </c>
      <c r="L156" s="85">
        <v>10</v>
      </c>
      <c r="M156" s="79"/>
      <c r="N156" s="80"/>
      <c r="O156" s="81">
        <v>155</v>
      </c>
    </row>
    <row r="157" spans="1:15" ht="15.5" x14ac:dyDescent="0.35">
      <c r="A157" s="1" t="str">
        <f t="shared" si="8"/>
        <v>10-12</v>
      </c>
      <c r="B157" s="26">
        <v>156</v>
      </c>
      <c r="C157" s="37" t="s">
        <v>331</v>
      </c>
      <c r="D157" s="83" t="s">
        <v>332</v>
      </c>
      <c r="E157" s="84" t="s">
        <v>23</v>
      </c>
      <c r="F157" s="77" t="s">
        <v>296</v>
      </c>
      <c r="G157" s="78">
        <v>19</v>
      </c>
      <c r="H157" s="78" t="str">
        <f t="shared" si="9"/>
        <v>XI-5_19</v>
      </c>
      <c r="I157" s="85">
        <v>12</v>
      </c>
      <c r="J157" s="85" t="str">
        <f t="shared" si="10"/>
        <v>0099309151-156</v>
      </c>
      <c r="K157" s="85" t="str">
        <f t="shared" si="11"/>
        <v>0099309151-156</v>
      </c>
      <c r="L157" s="85">
        <v>10</v>
      </c>
      <c r="M157" s="79"/>
      <c r="N157" s="80"/>
      <c r="O157" s="81">
        <v>156</v>
      </c>
    </row>
    <row r="158" spans="1:15" ht="15.5" x14ac:dyDescent="0.35">
      <c r="A158" s="1" t="str">
        <f t="shared" si="8"/>
        <v>10-13</v>
      </c>
      <c r="B158" s="26">
        <v>157</v>
      </c>
      <c r="C158" s="37" t="s">
        <v>333</v>
      </c>
      <c r="D158" s="83" t="s">
        <v>334</v>
      </c>
      <c r="E158" s="84" t="s">
        <v>23</v>
      </c>
      <c r="F158" s="77" t="s">
        <v>296</v>
      </c>
      <c r="G158" s="78">
        <v>20</v>
      </c>
      <c r="H158" s="78" t="str">
        <f t="shared" si="9"/>
        <v>XI-5_20</v>
      </c>
      <c r="I158" s="85">
        <v>13</v>
      </c>
      <c r="J158" s="85" t="str">
        <f t="shared" si="10"/>
        <v>0093387133-157</v>
      </c>
      <c r="K158" s="85" t="str">
        <f t="shared" si="11"/>
        <v>0093387133-157</v>
      </c>
      <c r="L158" s="85">
        <v>10</v>
      </c>
      <c r="M158" s="79"/>
      <c r="N158" s="80"/>
      <c r="O158" s="81">
        <v>157</v>
      </c>
    </row>
    <row r="159" spans="1:15" ht="15.5" x14ac:dyDescent="0.35">
      <c r="A159" s="1" t="str">
        <f t="shared" si="8"/>
        <v>10-14</v>
      </c>
      <c r="B159" s="26">
        <v>158</v>
      </c>
      <c r="C159" s="37" t="s">
        <v>335</v>
      </c>
      <c r="D159" s="83" t="s">
        <v>336</v>
      </c>
      <c r="E159" s="84" t="s">
        <v>13</v>
      </c>
      <c r="F159" s="77" t="s">
        <v>296</v>
      </c>
      <c r="G159" s="78">
        <v>21</v>
      </c>
      <c r="H159" s="78" t="str">
        <f t="shared" si="9"/>
        <v>XI-5_21</v>
      </c>
      <c r="I159" s="85">
        <v>14</v>
      </c>
      <c r="J159" s="85" t="str">
        <f t="shared" si="10"/>
        <v>3097179486-158</v>
      </c>
      <c r="K159" s="85" t="str">
        <f t="shared" si="11"/>
        <v>3097179486-158</v>
      </c>
      <c r="L159" s="85">
        <v>10</v>
      </c>
      <c r="M159" s="79"/>
      <c r="N159" s="80"/>
      <c r="O159" s="81">
        <v>158</v>
      </c>
    </row>
    <row r="160" spans="1:15" ht="15.5" x14ac:dyDescent="0.35">
      <c r="A160" s="1" t="str">
        <f t="shared" si="8"/>
        <v>10-15</v>
      </c>
      <c r="B160" s="26">
        <v>159</v>
      </c>
      <c r="C160" s="37" t="s">
        <v>337</v>
      </c>
      <c r="D160" s="83" t="s">
        <v>338</v>
      </c>
      <c r="E160" s="84" t="s">
        <v>13</v>
      </c>
      <c r="F160" s="77" t="s">
        <v>296</v>
      </c>
      <c r="G160" s="78">
        <v>22</v>
      </c>
      <c r="H160" s="78" t="str">
        <f t="shared" si="9"/>
        <v>XI-5_22</v>
      </c>
      <c r="I160" s="85">
        <v>15</v>
      </c>
      <c r="J160" s="85" t="str">
        <f t="shared" si="10"/>
        <v>0082854067-159</v>
      </c>
      <c r="K160" s="85" t="str">
        <f t="shared" si="11"/>
        <v>0082854067-159</v>
      </c>
      <c r="L160" s="85">
        <v>10</v>
      </c>
      <c r="M160" s="79"/>
      <c r="N160" s="80"/>
      <c r="O160" s="81">
        <v>159</v>
      </c>
    </row>
    <row r="161" spans="1:16" ht="15.5" x14ac:dyDescent="0.35">
      <c r="A161" s="1" t="str">
        <f t="shared" si="8"/>
        <v>10-16</v>
      </c>
      <c r="B161" s="26">
        <v>160</v>
      </c>
      <c r="C161" s="37" t="s">
        <v>339</v>
      </c>
      <c r="D161" s="83" t="s">
        <v>340</v>
      </c>
      <c r="E161" s="84" t="s">
        <v>13</v>
      </c>
      <c r="F161" s="77" t="s">
        <v>296</v>
      </c>
      <c r="G161" s="78">
        <v>23</v>
      </c>
      <c r="H161" s="78" t="str">
        <f t="shared" si="9"/>
        <v>XI-5_23</v>
      </c>
      <c r="I161" s="85">
        <v>16</v>
      </c>
      <c r="J161" s="85" t="str">
        <f t="shared" si="10"/>
        <v>0095410450-160</v>
      </c>
      <c r="K161" s="85" t="str">
        <f t="shared" si="11"/>
        <v>0095410450-160</v>
      </c>
      <c r="L161" s="85">
        <v>10</v>
      </c>
      <c r="M161" s="79"/>
      <c r="N161" s="80"/>
      <c r="O161" s="81">
        <v>160</v>
      </c>
    </row>
    <row r="162" spans="1:16" ht="15.5" x14ac:dyDescent="0.35">
      <c r="A162" s="1" t="str">
        <f t="shared" si="8"/>
        <v>11-1</v>
      </c>
      <c r="B162" s="26">
        <v>161</v>
      </c>
      <c r="C162" s="37" t="s">
        <v>341</v>
      </c>
      <c r="D162" s="83" t="s">
        <v>342</v>
      </c>
      <c r="E162" s="84" t="s">
        <v>23</v>
      </c>
      <c r="F162" s="77" t="s">
        <v>296</v>
      </c>
      <c r="G162" s="78">
        <v>24</v>
      </c>
      <c r="H162" s="78" t="str">
        <f t="shared" si="9"/>
        <v>XI-5_24</v>
      </c>
      <c r="I162" s="89">
        <v>1</v>
      </c>
      <c r="J162" s="89" t="str">
        <f t="shared" si="10"/>
        <v>0103125993-161</v>
      </c>
      <c r="K162" s="89" t="str">
        <f t="shared" si="11"/>
        <v>0103125993-161</v>
      </c>
      <c r="L162" s="89">
        <v>11</v>
      </c>
      <c r="M162" s="79"/>
      <c r="N162" s="80"/>
      <c r="O162" s="81">
        <v>161</v>
      </c>
    </row>
    <row r="163" spans="1:16" ht="15.5" x14ac:dyDescent="0.35">
      <c r="A163" s="1" t="str">
        <f t="shared" si="8"/>
        <v>11-2</v>
      </c>
      <c r="B163" s="26">
        <v>162</v>
      </c>
      <c r="C163" s="37" t="s">
        <v>343</v>
      </c>
      <c r="D163" s="83" t="s">
        <v>344</v>
      </c>
      <c r="E163" s="84" t="s">
        <v>13</v>
      </c>
      <c r="F163" s="77" t="s">
        <v>296</v>
      </c>
      <c r="G163" s="78">
        <v>25</v>
      </c>
      <c r="H163" s="78" t="str">
        <f t="shared" si="9"/>
        <v>XI-5_25</v>
      </c>
      <c r="I163" s="89">
        <v>2</v>
      </c>
      <c r="J163" s="89" t="str">
        <f t="shared" si="10"/>
        <v>0151270360-162</v>
      </c>
      <c r="K163" s="89" t="str">
        <f t="shared" si="11"/>
        <v>0151270360-162</v>
      </c>
      <c r="L163" s="89">
        <v>11</v>
      </c>
      <c r="M163" s="79"/>
      <c r="N163" s="80"/>
      <c r="O163" s="81">
        <v>162</v>
      </c>
    </row>
    <row r="164" spans="1:16" ht="15.5" x14ac:dyDescent="0.35">
      <c r="A164" s="1" t="str">
        <f t="shared" si="8"/>
        <v>11-3</v>
      </c>
      <c r="B164" s="26">
        <v>163</v>
      </c>
      <c r="C164" s="37" t="s">
        <v>345</v>
      </c>
      <c r="D164" s="83" t="s">
        <v>346</v>
      </c>
      <c r="E164" s="84" t="s">
        <v>13</v>
      </c>
      <c r="F164" s="77" t="s">
        <v>296</v>
      </c>
      <c r="G164" s="78">
        <v>26</v>
      </c>
      <c r="H164" s="78" t="str">
        <f t="shared" si="9"/>
        <v>XI-5_26</v>
      </c>
      <c r="I164" s="89">
        <v>3</v>
      </c>
      <c r="J164" s="89" t="str">
        <f t="shared" si="10"/>
        <v>3090219807-163</v>
      </c>
      <c r="K164" s="89" t="str">
        <f t="shared" si="11"/>
        <v>3090219807-163</v>
      </c>
      <c r="L164" s="89">
        <v>11</v>
      </c>
      <c r="M164" s="79"/>
      <c r="N164" s="80"/>
      <c r="O164" s="81">
        <v>163</v>
      </c>
    </row>
    <row r="165" spans="1:16" ht="15.5" x14ac:dyDescent="0.35">
      <c r="A165" s="1" t="str">
        <f t="shared" si="8"/>
        <v>11-4</v>
      </c>
      <c r="B165" s="26">
        <v>164</v>
      </c>
      <c r="C165" s="37" t="s">
        <v>347</v>
      </c>
      <c r="D165" s="83" t="s">
        <v>348</v>
      </c>
      <c r="E165" s="84" t="s">
        <v>13</v>
      </c>
      <c r="F165" s="77" t="s">
        <v>296</v>
      </c>
      <c r="G165" s="78">
        <v>27</v>
      </c>
      <c r="H165" s="78" t="str">
        <f t="shared" si="9"/>
        <v>XI-5_27</v>
      </c>
      <c r="I165" s="89">
        <v>4</v>
      </c>
      <c r="J165" s="89" t="str">
        <f t="shared" si="10"/>
        <v>0093153948-164</v>
      </c>
      <c r="K165" s="89" t="str">
        <f t="shared" si="11"/>
        <v>0093153948-164</v>
      </c>
      <c r="L165" s="89">
        <v>11</v>
      </c>
      <c r="M165" s="79"/>
      <c r="N165" s="80"/>
      <c r="O165" s="81">
        <v>164</v>
      </c>
    </row>
    <row r="166" spans="1:16" ht="15.5" x14ac:dyDescent="0.35">
      <c r="A166" s="1" t="str">
        <f t="shared" si="8"/>
        <v>11-5</v>
      </c>
      <c r="B166" s="26">
        <v>165</v>
      </c>
      <c r="C166" s="37" t="s">
        <v>349</v>
      </c>
      <c r="D166" s="83" t="s">
        <v>350</v>
      </c>
      <c r="E166" s="84" t="s">
        <v>23</v>
      </c>
      <c r="F166" s="77" t="s">
        <v>296</v>
      </c>
      <c r="G166" s="78">
        <v>28</v>
      </c>
      <c r="H166" s="78" t="str">
        <f t="shared" si="9"/>
        <v>XI-5_28</v>
      </c>
      <c r="I166" s="89">
        <v>5</v>
      </c>
      <c r="J166" s="89" t="str">
        <f t="shared" si="10"/>
        <v>0081387469-165</v>
      </c>
      <c r="K166" s="89" t="str">
        <f t="shared" si="11"/>
        <v>0081387469-165</v>
      </c>
      <c r="L166" s="89">
        <v>11</v>
      </c>
      <c r="M166" s="79"/>
      <c r="N166" s="80"/>
      <c r="O166" s="81">
        <v>165</v>
      </c>
    </row>
    <row r="167" spans="1:16" ht="15.5" x14ac:dyDescent="0.35">
      <c r="A167" s="1" t="str">
        <f t="shared" si="8"/>
        <v>11-6</v>
      </c>
      <c r="B167" s="26">
        <v>166</v>
      </c>
      <c r="C167" s="37" t="s">
        <v>351</v>
      </c>
      <c r="D167" s="83" t="s">
        <v>352</v>
      </c>
      <c r="E167" s="84" t="s">
        <v>13</v>
      </c>
      <c r="F167" s="77" t="s">
        <v>296</v>
      </c>
      <c r="G167" s="78">
        <v>29</v>
      </c>
      <c r="H167" s="78" t="str">
        <f t="shared" si="9"/>
        <v>XI-5_29</v>
      </c>
      <c r="I167" s="89">
        <v>6</v>
      </c>
      <c r="J167" s="89" t="str">
        <f t="shared" si="10"/>
        <v>0099486419-166</v>
      </c>
      <c r="K167" s="89" t="str">
        <f t="shared" si="11"/>
        <v>0099486419-166</v>
      </c>
      <c r="L167" s="89">
        <v>11</v>
      </c>
      <c r="M167" s="79"/>
      <c r="N167" s="80"/>
      <c r="O167" s="81">
        <v>166</v>
      </c>
    </row>
    <row r="168" spans="1:16" ht="15.5" x14ac:dyDescent="0.35">
      <c r="A168" s="1" t="str">
        <f t="shared" si="8"/>
        <v>11-7</v>
      </c>
      <c r="B168" s="26">
        <v>167</v>
      </c>
      <c r="C168" s="37" t="s">
        <v>353</v>
      </c>
      <c r="D168" s="83" t="s">
        <v>354</v>
      </c>
      <c r="E168" s="84" t="s">
        <v>13</v>
      </c>
      <c r="F168" s="77" t="s">
        <v>296</v>
      </c>
      <c r="G168" s="78">
        <v>30</v>
      </c>
      <c r="H168" s="78" t="str">
        <f t="shared" si="9"/>
        <v>XI-5_30</v>
      </c>
      <c r="I168" s="89">
        <v>7</v>
      </c>
      <c r="J168" s="89" t="str">
        <f t="shared" si="10"/>
        <v>0094120418-167</v>
      </c>
      <c r="K168" s="89" t="str">
        <f t="shared" si="11"/>
        <v>0094120418-167</v>
      </c>
      <c r="L168" s="89">
        <v>11</v>
      </c>
      <c r="M168" s="79"/>
      <c r="N168" s="80"/>
      <c r="O168" s="81">
        <v>167</v>
      </c>
    </row>
    <row r="169" spans="1:16" ht="15.5" x14ac:dyDescent="0.35">
      <c r="A169" s="1" t="str">
        <f t="shared" si="8"/>
        <v>11-8</v>
      </c>
      <c r="B169" s="26">
        <v>168</v>
      </c>
      <c r="C169" s="37" t="s">
        <v>355</v>
      </c>
      <c r="D169" s="83" t="s">
        <v>356</v>
      </c>
      <c r="E169" s="84" t="s">
        <v>13</v>
      </c>
      <c r="F169" s="77" t="s">
        <v>296</v>
      </c>
      <c r="G169" s="78">
        <v>31</v>
      </c>
      <c r="H169" s="78" t="str">
        <f t="shared" si="9"/>
        <v>XI-5_31</v>
      </c>
      <c r="I169" s="89">
        <v>8</v>
      </c>
      <c r="J169" s="89" t="str">
        <f t="shared" si="10"/>
        <v>0096324435-168</v>
      </c>
      <c r="K169" s="89" t="str">
        <f t="shared" si="11"/>
        <v>0096324435-168</v>
      </c>
      <c r="L169" s="89">
        <v>11</v>
      </c>
      <c r="M169" s="79"/>
      <c r="N169" s="80"/>
      <c r="O169" s="81">
        <v>168</v>
      </c>
    </row>
    <row r="170" spans="1:16" ht="15.5" x14ac:dyDescent="0.35">
      <c r="A170" s="1" t="str">
        <f t="shared" si="8"/>
        <v>11-9</v>
      </c>
      <c r="B170" s="26">
        <v>169</v>
      </c>
      <c r="C170" s="37" t="s">
        <v>357</v>
      </c>
      <c r="D170" s="83" t="s">
        <v>358</v>
      </c>
      <c r="E170" s="84" t="s">
        <v>13</v>
      </c>
      <c r="F170" s="77" t="s">
        <v>296</v>
      </c>
      <c r="G170" s="78">
        <v>32</v>
      </c>
      <c r="H170" s="78" t="str">
        <f t="shared" si="9"/>
        <v>XI-5_32</v>
      </c>
      <c r="I170" s="89">
        <v>9</v>
      </c>
      <c r="J170" s="89" t="str">
        <f t="shared" si="10"/>
        <v>0097318028-169</v>
      </c>
      <c r="K170" s="89" t="str">
        <f t="shared" si="11"/>
        <v>0097318028-169</v>
      </c>
      <c r="L170" s="89">
        <v>11</v>
      </c>
      <c r="M170" s="79"/>
      <c r="N170" s="80"/>
      <c r="O170" s="81">
        <v>169</v>
      </c>
    </row>
    <row r="171" spans="1:16" ht="15.5" x14ac:dyDescent="0.35">
      <c r="A171" s="1" t="str">
        <f t="shared" si="8"/>
        <v>11-10</v>
      </c>
      <c r="B171" s="26">
        <v>170</v>
      </c>
      <c r="C171" s="37" t="s">
        <v>359</v>
      </c>
      <c r="D171" s="83" t="s">
        <v>360</v>
      </c>
      <c r="E171" s="84" t="s">
        <v>13</v>
      </c>
      <c r="F171" s="77" t="s">
        <v>296</v>
      </c>
      <c r="G171" s="78">
        <v>33</v>
      </c>
      <c r="H171" s="78" t="str">
        <f t="shared" si="9"/>
        <v>XI-5_33</v>
      </c>
      <c r="I171" s="89">
        <v>10</v>
      </c>
      <c r="J171" s="89" t="str">
        <f t="shared" si="10"/>
        <v>0098501030-170</v>
      </c>
      <c r="K171" s="89" t="str">
        <f t="shared" si="11"/>
        <v>0098501030-170</v>
      </c>
      <c r="L171" s="89">
        <v>11</v>
      </c>
      <c r="M171" s="79"/>
      <c r="N171" s="80"/>
      <c r="O171" s="81">
        <v>170</v>
      </c>
    </row>
    <row r="172" spans="1:16" ht="15.5" x14ac:dyDescent="0.35">
      <c r="A172" s="1" t="str">
        <f t="shared" si="8"/>
        <v>11-11</v>
      </c>
      <c r="B172" s="26">
        <v>171</v>
      </c>
      <c r="C172" s="37" t="s">
        <v>361</v>
      </c>
      <c r="D172" s="83" t="s">
        <v>362</v>
      </c>
      <c r="E172" s="84" t="s">
        <v>13</v>
      </c>
      <c r="F172" s="77" t="s">
        <v>296</v>
      </c>
      <c r="G172" s="78">
        <v>34</v>
      </c>
      <c r="H172" s="78" t="str">
        <f t="shared" si="9"/>
        <v>XI-5_34</v>
      </c>
      <c r="I172" s="89">
        <v>11</v>
      </c>
      <c r="J172" s="89" t="str">
        <f t="shared" si="10"/>
        <v>0096172230-171</v>
      </c>
      <c r="K172" s="89" t="str">
        <f t="shared" si="11"/>
        <v>0096172230-171</v>
      </c>
      <c r="L172" s="89">
        <v>11</v>
      </c>
      <c r="M172" s="79"/>
      <c r="N172" s="80"/>
      <c r="O172" s="81">
        <v>171</v>
      </c>
    </row>
    <row r="173" spans="1:16" ht="15.5" x14ac:dyDescent="0.35">
      <c r="A173" s="1" t="str">
        <f t="shared" si="8"/>
        <v>11-12</v>
      </c>
      <c r="B173" s="26">
        <v>172</v>
      </c>
      <c r="C173" s="90" t="s">
        <v>363</v>
      </c>
      <c r="D173" s="91" t="s">
        <v>364</v>
      </c>
      <c r="E173" s="84" t="s">
        <v>13</v>
      </c>
      <c r="F173" s="77" t="s">
        <v>296</v>
      </c>
      <c r="G173" s="78">
        <v>35</v>
      </c>
      <c r="H173" s="78" t="str">
        <f t="shared" si="9"/>
        <v>XI-5_35</v>
      </c>
      <c r="I173" s="89">
        <v>12</v>
      </c>
      <c r="J173" s="89" t="str">
        <f t="shared" si="10"/>
        <v>0093522344-172</v>
      </c>
      <c r="K173" s="89" t="str">
        <f t="shared" si="11"/>
        <v>0093522344-172</v>
      </c>
      <c r="L173" s="89">
        <v>11</v>
      </c>
      <c r="M173" s="79"/>
      <c r="N173" s="80"/>
      <c r="O173" s="81">
        <v>172</v>
      </c>
    </row>
    <row r="174" spans="1:16" ht="15.5" x14ac:dyDescent="0.35">
      <c r="A174" s="1" t="str">
        <f t="shared" si="8"/>
        <v>11-13</v>
      </c>
      <c r="B174" s="26">
        <v>173</v>
      </c>
      <c r="C174" s="27" t="s">
        <v>365</v>
      </c>
      <c r="D174" s="92" t="s">
        <v>366</v>
      </c>
      <c r="E174" s="93" t="s">
        <v>23</v>
      </c>
      <c r="F174" s="94" t="s">
        <v>367</v>
      </c>
      <c r="G174" s="95">
        <v>1</v>
      </c>
      <c r="H174" s="95" t="str">
        <f t="shared" si="9"/>
        <v>XI-6_1</v>
      </c>
      <c r="I174" s="89">
        <v>13</v>
      </c>
      <c r="J174" s="96" t="str">
        <f t="shared" si="10"/>
        <v>0098306187-173</v>
      </c>
      <c r="K174" s="96" t="str">
        <f t="shared" si="11"/>
        <v>0098306187-173</v>
      </c>
      <c r="L174" s="89">
        <v>11</v>
      </c>
      <c r="M174" s="97"/>
      <c r="N174" s="98"/>
      <c r="O174" s="99">
        <v>173</v>
      </c>
    </row>
    <row r="175" spans="1:16" ht="15.5" x14ac:dyDescent="0.35">
      <c r="A175" s="1" t="str">
        <f t="shared" si="8"/>
        <v>11-14</v>
      </c>
      <c r="B175" s="26">
        <v>174</v>
      </c>
      <c r="C175" s="27" t="s">
        <v>368</v>
      </c>
      <c r="D175" s="92" t="s">
        <v>369</v>
      </c>
      <c r="E175" s="93" t="s">
        <v>23</v>
      </c>
      <c r="F175" s="94" t="s">
        <v>367</v>
      </c>
      <c r="G175" s="95">
        <v>2</v>
      </c>
      <c r="H175" s="100" t="str">
        <f t="shared" si="9"/>
        <v>XI-6_2</v>
      </c>
      <c r="I175" s="89">
        <v>14</v>
      </c>
      <c r="J175" s="96" t="str">
        <f t="shared" si="10"/>
        <v>0087579126-174</v>
      </c>
      <c r="K175" s="96" t="str">
        <f t="shared" si="11"/>
        <v>0087579126-174</v>
      </c>
      <c r="L175" s="89">
        <v>11</v>
      </c>
      <c r="M175" s="97"/>
      <c r="N175" s="98"/>
      <c r="O175" s="99">
        <v>174</v>
      </c>
      <c r="P175" s="101"/>
    </row>
    <row r="176" spans="1:16" ht="15.5" x14ac:dyDescent="0.35">
      <c r="A176" s="1" t="str">
        <f t="shared" si="8"/>
        <v>11-15</v>
      </c>
      <c r="B176" s="26">
        <v>175</v>
      </c>
      <c r="C176" s="27" t="s">
        <v>370</v>
      </c>
      <c r="D176" s="92" t="s">
        <v>371</v>
      </c>
      <c r="E176" s="93" t="s">
        <v>23</v>
      </c>
      <c r="F176" s="94" t="s">
        <v>367</v>
      </c>
      <c r="G176" s="95">
        <v>3</v>
      </c>
      <c r="H176" s="95" t="str">
        <f t="shared" si="9"/>
        <v>XI-6_3</v>
      </c>
      <c r="I176" s="89">
        <v>15</v>
      </c>
      <c r="J176" s="96" t="str">
        <f t="shared" si="10"/>
        <v>0081963986-175</v>
      </c>
      <c r="K176" s="96" t="str">
        <f t="shared" si="11"/>
        <v>0081963986-175</v>
      </c>
      <c r="L176" s="89">
        <v>11</v>
      </c>
      <c r="M176" s="97"/>
      <c r="N176" s="98"/>
      <c r="O176" s="102">
        <v>175</v>
      </c>
    </row>
    <row r="177" spans="1:15" ht="15.5" x14ac:dyDescent="0.35">
      <c r="A177" s="1" t="str">
        <f t="shared" si="8"/>
        <v>11-16</v>
      </c>
      <c r="B177" s="26">
        <v>176</v>
      </c>
      <c r="C177" s="27" t="s">
        <v>372</v>
      </c>
      <c r="D177" s="92" t="s">
        <v>373</v>
      </c>
      <c r="E177" s="93" t="s">
        <v>23</v>
      </c>
      <c r="F177" s="94" t="s">
        <v>367</v>
      </c>
      <c r="G177" s="95">
        <v>4</v>
      </c>
      <c r="H177" s="95" t="str">
        <f t="shared" si="9"/>
        <v>XI-6_4</v>
      </c>
      <c r="I177" s="89">
        <v>16</v>
      </c>
      <c r="J177" s="96" t="str">
        <f t="shared" si="10"/>
        <v>0082629915-176</v>
      </c>
      <c r="K177" s="96" t="str">
        <f t="shared" si="11"/>
        <v>0082629915-176</v>
      </c>
      <c r="L177" s="89">
        <v>11</v>
      </c>
      <c r="M177" s="97"/>
      <c r="N177" s="98"/>
      <c r="O177" s="99">
        <v>176</v>
      </c>
    </row>
    <row r="178" spans="1:15" ht="15.5" x14ac:dyDescent="0.35">
      <c r="A178" s="1" t="str">
        <f t="shared" si="8"/>
        <v>12-1</v>
      </c>
      <c r="B178" s="26">
        <v>177</v>
      </c>
      <c r="C178" s="27" t="s">
        <v>374</v>
      </c>
      <c r="D178" s="92" t="s">
        <v>375</v>
      </c>
      <c r="E178" s="93" t="s">
        <v>23</v>
      </c>
      <c r="F178" s="94" t="s">
        <v>367</v>
      </c>
      <c r="G178" s="95">
        <v>5</v>
      </c>
      <c r="H178" s="95" t="str">
        <f t="shared" si="9"/>
        <v>XI-6_5</v>
      </c>
      <c r="I178" s="95">
        <v>1</v>
      </c>
      <c r="J178" s="95" t="str">
        <f t="shared" si="10"/>
        <v>0091950483-177</v>
      </c>
      <c r="K178" s="95" t="str">
        <f t="shared" si="11"/>
        <v>0091950483-177</v>
      </c>
      <c r="L178" s="95">
        <v>12</v>
      </c>
      <c r="M178" s="97"/>
      <c r="N178" s="98"/>
      <c r="O178" s="99">
        <v>177</v>
      </c>
    </row>
    <row r="179" spans="1:15" ht="15.5" x14ac:dyDescent="0.35">
      <c r="A179" s="1" t="str">
        <f t="shared" si="8"/>
        <v>12-2</v>
      </c>
      <c r="B179" s="26">
        <v>178</v>
      </c>
      <c r="C179" s="37" t="s">
        <v>376</v>
      </c>
      <c r="D179" s="103" t="s">
        <v>377</v>
      </c>
      <c r="E179" s="104" t="s">
        <v>23</v>
      </c>
      <c r="F179" s="94" t="s">
        <v>367</v>
      </c>
      <c r="G179" s="95">
        <v>6</v>
      </c>
      <c r="H179" s="95" t="str">
        <f t="shared" si="9"/>
        <v>XI-6_6</v>
      </c>
      <c r="I179" s="95">
        <v>2</v>
      </c>
      <c r="J179" s="95" t="str">
        <f t="shared" si="10"/>
        <v>0083788748-178</v>
      </c>
      <c r="K179" s="95" t="str">
        <f t="shared" si="11"/>
        <v>0083788748-178</v>
      </c>
      <c r="L179" s="95">
        <v>12</v>
      </c>
      <c r="M179" s="97"/>
      <c r="N179" s="98"/>
      <c r="O179" s="102">
        <v>178</v>
      </c>
    </row>
    <row r="180" spans="1:15" ht="15.5" x14ac:dyDescent="0.35">
      <c r="A180" s="1" t="str">
        <f t="shared" si="8"/>
        <v>12-3</v>
      </c>
      <c r="B180" s="26">
        <v>179</v>
      </c>
      <c r="C180" s="37" t="s">
        <v>378</v>
      </c>
      <c r="D180" s="103" t="s">
        <v>379</v>
      </c>
      <c r="E180" s="104" t="s">
        <v>13</v>
      </c>
      <c r="F180" s="94" t="s">
        <v>367</v>
      </c>
      <c r="G180" s="95">
        <v>7</v>
      </c>
      <c r="H180" s="95" t="str">
        <f t="shared" si="9"/>
        <v>XI-6_7</v>
      </c>
      <c r="I180" s="95">
        <v>3</v>
      </c>
      <c r="J180" s="95" t="str">
        <f t="shared" si="10"/>
        <v>0082856698-179</v>
      </c>
      <c r="K180" s="95" t="str">
        <f t="shared" si="11"/>
        <v>0082856698-179</v>
      </c>
      <c r="L180" s="95">
        <v>12</v>
      </c>
      <c r="M180" s="97"/>
      <c r="N180" s="98"/>
      <c r="O180" s="99">
        <v>179</v>
      </c>
    </row>
    <row r="181" spans="1:15" ht="15.5" x14ac:dyDescent="0.35">
      <c r="A181" s="1" t="str">
        <f t="shared" si="8"/>
        <v>12-4</v>
      </c>
      <c r="B181" s="26">
        <v>180</v>
      </c>
      <c r="C181" s="37" t="s">
        <v>380</v>
      </c>
      <c r="D181" s="103" t="s">
        <v>381</v>
      </c>
      <c r="E181" s="104" t="s">
        <v>23</v>
      </c>
      <c r="F181" s="94" t="s">
        <v>367</v>
      </c>
      <c r="G181" s="95">
        <v>8</v>
      </c>
      <c r="H181" s="95" t="str">
        <f t="shared" si="9"/>
        <v>XI-6_8</v>
      </c>
      <c r="I181" s="95">
        <v>4</v>
      </c>
      <c r="J181" s="95" t="str">
        <f t="shared" si="10"/>
        <v>0091910283-180</v>
      </c>
      <c r="K181" s="95" t="str">
        <f t="shared" si="11"/>
        <v>0091910283-180</v>
      </c>
      <c r="L181" s="95">
        <v>12</v>
      </c>
      <c r="M181" s="97"/>
      <c r="N181" s="98"/>
      <c r="O181" s="99">
        <v>180</v>
      </c>
    </row>
    <row r="182" spans="1:15" ht="15.5" x14ac:dyDescent="0.35">
      <c r="A182" s="1" t="str">
        <f t="shared" si="8"/>
        <v>12-5</v>
      </c>
      <c r="B182" s="26">
        <v>181</v>
      </c>
      <c r="C182" s="41" t="s">
        <v>382</v>
      </c>
      <c r="D182" s="105" t="s">
        <v>383</v>
      </c>
      <c r="E182" s="106" t="s">
        <v>13</v>
      </c>
      <c r="F182" s="94" t="s">
        <v>367</v>
      </c>
      <c r="G182" s="95">
        <v>9</v>
      </c>
      <c r="H182" s="95" t="str">
        <f t="shared" si="9"/>
        <v>XI-6_9</v>
      </c>
      <c r="I182" s="95">
        <v>5</v>
      </c>
      <c r="J182" s="95" t="str">
        <f t="shared" si="10"/>
        <v>0085155631-181</v>
      </c>
      <c r="K182" s="95" t="str">
        <f t="shared" si="11"/>
        <v>0085155631-181</v>
      </c>
      <c r="L182" s="95">
        <v>12</v>
      </c>
      <c r="M182" s="97"/>
      <c r="N182" s="98"/>
      <c r="O182" s="102">
        <v>181</v>
      </c>
    </row>
    <row r="183" spans="1:15" ht="15.5" x14ac:dyDescent="0.35">
      <c r="A183" s="1" t="str">
        <f t="shared" si="8"/>
        <v>12-6</v>
      </c>
      <c r="B183" s="26">
        <v>182</v>
      </c>
      <c r="C183" s="41" t="s">
        <v>384</v>
      </c>
      <c r="D183" s="107" t="s">
        <v>385</v>
      </c>
      <c r="E183" s="104" t="s">
        <v>23</v>
      </c>
      <c r="F183" s="94" t="s">
        <v>367</v>
      </c>
      <c r="G183" s="95">
        <v>10</v>
      </c>
      <c r="H183" s="95" t="str">
        <f t="shared" si="9"/>
        <v>XI-6_10</v>
      </c>
      <c r="I183" s="95">
        <v>6</v>
      </c>
      <c r="J183" s="95" t="str">
        <f t="shared" si="10"/>
        <v>0095703923-182</v>
      </c>
      <c r="K183" s="95" t="str">
        <f t="shared" si="11"/>
        <v>0095703923-182</v>
      </c>
      <c r="L183" s="95">
        <v>12</v>
      </c>
      <c r="M183" s="97"/>
      <c r="N183" s="98"/>
      <c r="O183" s="99">
        <v>182</v>
      </c>
    </row>
    <row r="184" spans="1:15" ht="15.5" x14ac:dyDescent="0.35">
      <c r="A184" s="1" t="str">
        <f t="shared" si="8"/>
        <v>12-7</v>
      </c>
      <c r="B184" s="26">
        <v>183</v>
      </c>
      <c r="C184" s="37" t="s">
        <v>386</v>
      </c>
      <c r="D184" s="103" t="s">
        <v>387</v>
      </c>
      <c r="E184" s="104" t="s">
        <v>23</v>
      </c>
      <c r="F184" s="94" t="s">
        <v>367</v>
      </c>
      <c r="G184" s="95">
        <v>11</v>
      </c>
      <c r="H184" s="95" t="str">
        <f t="shared" si="9"/>
        <v>XI-6_11</v>
      </c>
      <c r="I184" s="95">
        <v>7</v>
      </c>
      <c r="J184" s="95" t="str">
        <f t="shared" si="10"/>
        <v>0097209476-183</v>
      </c>
      <c r="K184" s="95" t="str">
        <f t="shared" si="11"/>
        <v>0097209476-183</v>
      </c>
      <c r="L184" s="95">
        <v>12</v>
      </c>
      <c r="M184" s="97"/>
      <c r="N184" s="98"/>
      <c r="O184" s="99">
        <v>183</v>
      </c>
    </row>
    <row r="185" spans="1:15" ht="15.5" x14ac:dyDescent="0.35">
      <c r="A185" s="1" t="str">
        <f t="shared" si="8"/>
        <v>12-8</v>
      </c>
      <c r="B185" s="26">
        <v>184</v>
      </c>
      <c r="C185" s="37" t="s">
        <v>388</v>
      </c>
      <c r="D185" s="103" t="s">
        <v>389</v>
      </c>
      <c r="E185" s="104" t="s">
        <v>23</v>
      </c>
      <c r="F185" s="94" t="s">
        <v>367</v>
      </c>
      <c r="G185" s="95">
        <v>12</v>
      </c>
      <c r="H185" s="95" t="str">
        <f t="shared" si="9"/>
        <v>XI-6_12</v>
      </c>
      <c r="I185" s="95">
        <v>8</v>
      </c>
      <c r="J185" s="95" t="str">
        <f t="shared" si="10"/>
        <v>0091417707-184</v>
      </c>
      <c r="K185" s="95" t="str">
        <f t="shared" si="11"/>
        <v>0091417707-184</v>
      </c>
      <c r="L185" s="95">
        <v>12</v>
      </c>
      <c r="M185" s="97"/>
      <c r="N185" s="98"/>
      <c r="O185" s="102">
        <v>184</v>
      </c>
    </row>
    <row r="186" spans="1:15" ht="15.5" x14ac:dyDescent="0.35">
      <c r="A186" s="1" t="str">
        <f t="shared" si="8"/>
        <v>12-9</v>
      </c>
      <c r="B186" s="26">
        <v>185</v>
      </c>
      <c r="C186" s="37" t="s">
        <v>390</v>
      </c>
      <c r="D186" s="103" t="s">
        <v>391</v>
      </c>
      <c r="E186" s="104" t="s">
        <v>13</v>
      </c>
      <c r="F186" s="94" t="s">
        <v>367</v>
      </c>
      <c r="G186" s="95">
        <v>13</v>
      </c>
      <c r="H186" s="95" t="str">
        <f t="shared" si="9"/>
        <v>XI-6_13</v>
      </c>
      <c r="I186" s="95">
        <v>9</v>
      </c>
      <c r="J186" s="95" t="str">
        <f t="shared" si="10"/>
        <v>0098749439-185</v>
      </c>
      <c r="K186" s="95" t="str">
        <f t="shared" si="11"/>
        <v>0098749439-185</v>
      </c>
      <c r="L186" s="95">
        <v>12</v>
      </c>
      <c r="M186" s="97"/>
      <c r="N186" s="98"/>
      <c r="O186" s="99">
        <v>185</v>
      </c>
    </row>
    <row r="187" spans="1:15" ht="15.5" x14ac:dyDescent="0.35">
      <c r="A187" s="1" t="str">
        <f t="shared" si="8"/>
        <v>12-10</v>
      </c>
      <c r="B187" s="26">
        <v>186</v>
      </c>
      <c r="C187" s="37" t="s">
        <v>392</v>
      </c>
      <c r="D187" s="103" t="s">
        <v>393</v>
      </c>
      <c r="E187" s="104" t="s">
        <v>13</v>
      </c>
      <c r="F187" s="94" t="s">
        <v>367</v>
      </c>
      <c r="G187" s="95">
        <v>14</v>
      </c>
      <c r="H187" s="95" t="str">
        <f t="shared" si="9"/>
        <v>XI-6_14</v>
      </c>
      <c r="I187" s="95">
        <v>10</v>
      </c>
      <c r="J187" s="95" t="str">
        <f t="shared" si="10"/>
        <v>0096082382-186</v>
      </c>
      <c r="K187" s="95" t="str">
        <f t="shared" si="11"/>
        <v>0096082382-186</v>
      </c>
      <c r="L187" s="95">
        <v>12</v>
      </c>
      <c r="M187" s="97"/>
      <c r="N187" s="98"/>
      <c r="O187" s="99">
        <v>186</v>
      </c>
    </row>
    <row r="188" spans="1:15" ht="15.5" x14ac:dyDescent="0.35">
      <c r="A188" s="1" t="str">
        <f t="shared" si="8"/>
        <v>12-11</v>
      </c>
      <c r="B188" s="26">
        <v>187</v>
      </c>
      <c r="C188" s="37" t="s">
        <v>394</v>
      </c>
      <c r="D188" s="103" t="s">
        <v>395</v>
      </c>
      <c r="E188" s="104" t="s">
        <v>13</v>
      </c>
      <c r="F188" s="94" t="s">
        <v>367</v>
      </c>
      <c r="G188" s="95">
        <v>15</v>
      </c>
      <c r="H188" s="95" t="str">
        <f t="shared" si="9"/>
        <v>XI-6_15</v>
      </c>
      <c r="I188" s="95">
        <v>11</v>
      </c>
      <c r="J188" s="95" t="str">
        <f t="shared" si="10"/>
        <v>3091474895-187</v>
      </c>
      <c r="K188" s="95" t="str">
        <f t="shared" si="11"/>
        <v>3091474895-187</v>
      </c>
      <c r="L188" s="95">
        <v>12</v>
      </c>
      <c r="M188" s="97"/>
      <c r="N188" s="98"/>
      <c r="O188" s="102">
        <v>187</v>
      </c>
    </row>
    <row r="189" spans="1:15" ht="15.5" x14ac:dyDescent="0.35">
      <c r="A189" s="1" t="str">
        <f t="shared" si="8"/>
        <v>12-12</v>
      </c>
      <c r="B189" s="26">
        <v>188</v>
      </c>
      <c r="C189" s="37" t="s">
        <v>396</v>
      </c>
      <c r="D189" s="103" t="s">
        <v>397</v>
      </c>
      <c r="E189" s="104" t="s">
        <v>13</v>
      </c>
      <c r="F189" s="94" t="s">
        <v>367</v>
      </c>
      <c r="G189" s="95">
        <v>16</v>
      </c>
      <c r="H189" s="95" t="str">
        <f t="shared" si="9"/>
        <v>XI-6_16</v>
      </c>
      <c r="I189" s="95">
        <v>12</v>
      </c>
      <c r="J189" s="95" t="str">
        <f t="shared" si="10"/>
        <v>0082970361-188</v>
      </c>
      <c r="K189" s="95" t="str">
        <f t="shared" si="11"/>
        <v>0082970361-188</v>
      </c>
      <c r="L189" s="95">
        <v>12</v>
      </c>
      <c r="M189" s="97"/>
      <c r="N189" s="98"/>
      <c r="O189" s="99">
        <v>188</v>
      </c>
    </row>
    <row r="190" spans="1:15" ht="15.5" x14ac:dyDescent="0.35">
      <c r="A190" s="1" t="str">
        <f t="shared" si="8"/>
        <v>12-13</v>
      </c>
      <c r="B190" s="26">
        <v>189</v>
      </c>
      <c r="C190" s="37" t="s">
        <v>398</v>
      </c>
      <c r="D190" s="103" t="s">
        <v>399</v>
      </c>
      <c r="E190" s="104" t="s">
        <v>23</v>
      </c>
      <c r="F190" s="94" t="s">
        <v>367</v>
      </c>
      <c r="G190" s="95">
        <v>17</v>
      </c>
      <c r="H190" s="95" t="str">
        <f t="shared" si="9"/>
        <v>XI-6_17</v>
      </c>
      <c r="I190" s="95">
        <v>13</v>
      </c>
      <c r="J190" s="95" t="str">
        <f t="shared" si="10"/>
        <v>0098395631-189</v>
      </c>
      <c r="K190" s="95" t="str">
        <f t="shared" si="11"/>
        <v>0098395631-189</v>
      </c>
      <c r="L190" s="95">
        <v>12</v>
      </c>
      <c r="M190" s="97"/>
      <c r="N190" s="98"/>
      <c r="O190" s="99">
        <v>189</v>
      </c>
    </row>
    <row r="191" spans="1:15" ht="15.5" x14ac:dyDescent="0.35">
      <c r="A191" s="1" t="str">
        <f t="shared" si="8"/>
        <v>12-14</v>
      </c>
      <c r="B191" s="26">
        <v>190</v>
      </c>
      <c r="C191" s="37" t="s">
        <v>400</v>
      </c>
      <c r="D191" s="103" t="s">
        <v>401</v>
      </c>
      <c r="E191" s="104" t="s">
        <v>23</v>
      </c>
      <c r="F191" s="94" t="s">
        <v>367</v>
      </c>
      <c r="G191" s="95">
        <v>18</v>
      </c>
      <c r="H191" s="95" t="str">
        <f t="shared" si="9"/>
        <v>XI-6_18</v>
      </c>
      <c r="I191" s="95">
        <v>14</v>
      </c>
      <c r="J191" s="95" t="str">
        <f t="shared" si="10"/>
        <v>0083798123-190</v>
      </c>
      <c r="K191" s="95" t="str">
        <f t="shared" si="11"/>
        <v>0083798123-190</v>
      </c>
      <c r="L191" s="95">
        <v>12</v>
      </c>
      <c r="M191" s="97"/>
      <c r="N191" s="98"/>
      <c r="O191" s="102">
        <v>190</v>
      </c>
    </row>
    <row r="192" spans="1:15" ht="15.5" x14ac:dyDescent="0.35">
      <c r="A192" s="1" t="str">
        <f t="shared" si="8"/>
        <v>12-15</v>
      </c>
      <c r="B192" s="26">
        <v>191</v>
      </c>
      <c r="C192" s="37" t="s">
        <v>402</v>
      </c>
      <c r="D192" s="103" t="s">
        <v>403</v>
      </c>
      <c r="E192" s="104" t="s">
        <v>13</v>
      </c>
      <c r="F192" s="94" t="s">
        <v>367</v>
      </c>
      <c r="G192" s="95">
        <v>19</v>
      </c>
      <c r="H192" s="95" t="str">
        <f t="shared" si="9"/>
        <v>XI-6_19</v>
      </c>
      <c r="I192" s="95">
        <v>15</v>
      </c>
      <c r="J192" s="95" t="str">
        <f t="shared" si="10"/>
        <v>0094946899-191</v>
      </c>
      <c r="K192" s="95" t="str">
        <f t="shared" si="11"/>
        <v>0094946899-191</v>
      </c>
      <c r="L192" s="95">
        <v>12</v>
      </c>
      <c r="M192" s="97"/>
      <c r="N192" s="98"/>
      <c r="O192" s="99">
        <v>191</v>
      </c>
    </row>
    <row r="193" spans="1:15" ht="15.5" x14ac:dyDescent="0.35">
      <c r="A193" s="1" t="str">
        <f t="shared" si="8"/>
        <v>12-16</v>
      </c>
      <c r="B193" s="26">
        <v>192</v>
      </c>
      <c r="C193" s="37" t="s">
        <v>404</v>
      </c>
      <c r="D193" s="103" t="s">
        <v>405</v>
      </c>
      <c r="E193" s="104" t="s">
        <v>23</v>
      </c>
      <c r="F193" s="94" t="s">
        <v>367</v>
      </c>
      <c r="G193" s="95">
        <v>20</v>
      </c>
      <c r="H193" s="95" t="str">
        <f t="shared" si="9"/>
        <v>XI-6_20</v>
      </c>
      <c r="I193" s="95">
        <v>16</v>
      </c>
      <c r="J193" s="95" t="str">
        <f t="shared" si="10"/>
        <v>0084457929-192</v>
      </c>
      <c r="K193" s="95" t="str">
        <f t="shared" si="11"/>
        <v>0084457929-192</v>
      </c>
      <c r="L193" s="95">
        <v>12</v>
      </c>
      <c r="M193" s="97"/>
      <c r="N193" s="98"/>
      <c r="O193" s="99">
        <v>192</v>
      </c>
    </row>
    <row r="194" spans="1:15" ht="15.5" x14ac:dyDescent="0.35">
      <c r="A194" s="1" t="str">
        <f t="shared" ref="A194:A257" si="12">L194&amp;"-"&amp;I194</f>
        <v>13-1</v>
      </c>
      <c r="B194" s="26">
        <v>193</v>
      </c>
      <c r="C194" s="37" t="s">
        <v>406</v>
      </c>
      <c r="D194" s="103" t="s">
        <v>407</v>
      </c>
      <c r="E194" s="104" t="s">
        <v>13</v>
      </c>
      <c r="F194" s="94" t="s">
        <v>367</v>
      </c>
      <c r="G194" s="95">
        <v>21</v>
      </c>
      <c r="H194" s="95" t="str">
        <f t="shared" ref="H194:H257" si="13">F194&amp;"_"&amp;G194</f>
        <v>XI-6_21</v>
      </c>
      <c r="I194" s="108">
        <v>1</v>
      </c>
      <c r="J194" s="108" t="str">
        <f t="shared" ref="J194:J257" si="14">C194&amp;"-"&amp;B194</f>
        <v>0093082752-193</v>
      </c>
      <c r="K194" s="108" t="str">
        <f t="shared" ref="K194:K257" si="15">C194&amp;"-"&amp;B194</f>
        <v>0093082752-193</v>
      </c>
      <c r="L194" s="108">
        <v>13</v>
      </c>
      <c r="M194" s="97"/>
      <c r="N194" s="98"/>
      <c r="O194" s="102">
        <v>193</v>
      </c>
    </row>
    <row r="195" spans="1:15" ht="15.5" x14ac:dyDescent="0.35">
      <c r="A195" s="1" t="str">
        <f t="shared" si="12"/>
        <v>13-2</v>
      </c>
      <c r="B195" s="26">
        <v>194</v>
      </c>
      <c r="C195" s="37" t="s">
        <v>408</v>
      </c>
      <c r="D195" s="103" t="s">
        <v>409</v>
      </c>
      <c r="E195" s="104" t="s">
        <v>23</v>
      </c>
      <c r="F195" s="94" t="s">
        <v>367</v>
      </c>
      <c r="G195" s="95">
        <v>22</v>
      </c>
      <c r="H195" s="95" t="str">
        <f t="shared" si="13"/>
        <v>XI-6_22</v>
      </c>
      <c r="I195" s="108">
        <v>2</v>
      </c>
      <c r="J195" s="108" t="str">
        <f t="shared" si="14"/>
        <v>0088438261-194</v>
      </c>
      <c r="K195" s="108" t="str">
        <f t="shared" si="15"/>
        <v>0088438261-194</v>
      </c>
      <c r="L195" s="108">
        <v>13</v>
      </c>
      <c r="M195" s="97"/>
      <c r="N195" s="98"/>
      <c r="O195" s="99">
        <v>194</v>
      </c>
    </row>
    <row r="196" spans="1:15" ht="15.5" x14ac:dyDescent="0.35">
      <c r="A196" s="1" t="str">
        <f t="shared" si="12"/>
        <v>13-3</v>
      </c>
      <c r="B196" s="26">
        <v>195</v>
      </c>
      <c r="C196" s="37" t="s">
        <v>410</v>
      </c>
      <c r="D196" s="103" t="s">
        <v>411</v>
      </c>
      <c r="E196" s="104" t="s">
        <v>23</v>
      </c>
      <c r="F196" s="94" t="s">
        <v>367</v>
      </c>
      <c r="G196" s="95">
        <v>23</v>
      </c>
      <c r="H196" s="95" t="str">
        <f t="shared" si="13"/>
        <v>XI-6_23</v>
      </c>
      <c r="I196" s="108">
        <v>3</v>
      </c>
      <c r="J196" s="108" t="str">
        <f t="shared" si="14"/>
        <v>0094647060-195</v>
      </c>
      <c r="K196" s="108" t="str">
        <f t="shared" si="15"/>
        <v>0094647060-195</v>
      </c>
      <c r="L196" s="108">
        <v>13</v>
      </c>
      <c r="M196" s="97"/>
      <c r="N196" s="98"/>
      <c r="O196" s="99">
        <v>195</v>
      </c>
    </row>
    <row r="197" spans="1:15" ht="15.5" x14ac:dyDescent="0.35">
      <c r="A197" s="1" t="str">
        <f t="shared" si="12"/>
        <v>13-4</v>
      </c>
      <c r="B197" s="26">
        <v>196</v>
      </c>
      <c r="C197" s="37" t="s">
        <v>412</v>
      </c>
      <c r="D197" s="103" t="s">
        <v>413</v>
      </c>
      <c r="E197" s="104" t="s">
        <v>23</v>
      </c>
      <c r="F197" s="94" t="s">
        <v>367</v>
      </c>
      <c r="G197" s="95">
        <v>24</v>
      </c>
      <c r="H197" s="95" t="str">
        <f t="shared" si="13"/>
        <v>XI-6_24</v>
      </c>
      <c r="I197" s="108">
        <v>4</v>
      </c>
      <c r="J197" s="108" t="str">
        <f t="shared" si="14"/>
        <v>0081748067-196</v>
      </c>
      <c r="K197" s="108" t="str">
        <f t="shared" si="15"/>
        <v>0081748067-196</v>
      </c>
      <c r="L197" s="108">
        <v>13</v>
      </c>
      <c r="M197" s="97"/>
      <c r="N197" s="98"/>
      <c r="O197" s="102">
        <v>196</v>
      </c>
    </row>
    <row r="198" spans="1:15" ht="15.5" x14ac:dyDescent="0.35">
      <c r="A198" s="1" t="str">
        <f t="shared" si="12"/>
        <v>13-5</v>
      </c>
      <c r="B198" s="26">
        <v>197</v>
      </c>
      <c r="C198" s="37" t="s">
        <v>414</v>
      </c>
      <c r="D198" s="103" t="s">
        <v>415</v>
      </c>
      <c r="E198" s="104" t="s">
        <v>23</v>
      </c>
      <c r="F198" s="94" t="s">
        <v>367</v>
      </c>
      <c r="G198" s="95">
        <v>25</v>
      </c>
      <c r="H198" s="95" t="str">
        <f t="shared" si="13"/>
        <v>XI-6_25</v>
      </c>
      <c r="I198" s="108">
        <v>5</v>
      </c>
      <c r="J198" s="108" t="str">
        <f t="shared" si="14"/>
        <v>0088045497-197</v>
      </c>
      <c r="K198" s="108" t="str">
        <f t="shared" si="15"/>
        <v>0088045497-197</v>
      </c>
      <c r="L198" s="108">
        <v>13</v>
      </c>
      <c r="M198" s="97"/>
      <c r="N198" s="98"/>
      <c r="O198" s="99">
        <v>197</v>
      </c>
    </row>
    <row r="199" spans="1:15" ht="15.5" x14ac:dyDescent="0.35">
      <c r="A199" s="1" t="str">
        <f t="shared" si="12"/>
        <v>13-6</v>
      </c>
      <c r="B199" s="26">
        <v>198</v>
      </c>
      <c r="C199" s="37" t="s">
        <v>416</v>
      </c>
      <c r="D199" s="103" t="s">
        <v>417</v>
      </c>
      <c r="E199" s="104" t="s">
        <v>13</v>
      </c>
      <c r="F199" s="94" t="s">
        <v>367</v>
      </c>
      <c r="G199" s="95">
        <v>26</v>
      </c>
      <c r="H199" s="95" t="str">
        <f t="shared" si="13"/>
        <v>XI-6_26</v>
      </c>
      <c r="I199" s="108">
        <v>6</v>
      </c>
      <c r="J199" s="108" t="str">
        <f t="shared" si="14"/>
        <v>0092178397-198</v>
      </c>
      <c r="K199" s="108" t="str">
        <f t="shared" si="15"/>
        <v>0092178397-198</v>
      </c>
      <c r="L199" s="108">
        <v>13</v>
      </c>
      <c r="M199" s="97"/>
      <c r="N199" s="98"/>
      <c r="O199" s="99">
        <v>198</v>
      </c>
    </row>
    <row r="200" spans="1:15" ht="15.5" x14ac:dyDescent="0.35">
      <c r="A200" s="1" t="str">
        <f t="shared" si="12"/>
        <v>13-7</v>
      </c>
      <c r="B200" s="26">
        <v>199</v>
      </c>
      <c r="C200" s="37" t="s">
        <v>418</v>
      </c>
      <c r="D200" s="103" t="s">
        <v>419</v>
      </c>
      <c r="E200" s="104" t="s">
        <v>13</v>
      </c>
      <c r="F200" s="94" t="s">
        <v>367</v>
      </c>
      <c r="G200" s="95">
        <v>27</v>
      </c>
      <c r="H200" s="95" t="str">
        <f t="shared" si="13"/>
        <v>XI-6_27</v>
      </c>
      <c r="I200" s="108">
        <v>7</v>
      </c>
      <c r="J200" s="108" t="str">
        <f t="shared" si="14"/>
        <v>0098409863-199</v>
      </c>
      <c r="K200" s="108" t="str">
        <f t="shared" si="15"/>
        <v>0098409863-199</v>
      </c>
      <c r="L200" s="108">
        <v>13</v>
      </c>
      <c r="M200" s="97"/>
      <c r="N200" s="98"/>
      <c r="O200" s="102">
        <v>199</v>
      </c>
    </row>
    <row r="201" spans="1:15" ht="15.5" x14ac:dyDescent="0.35">
      <c r="A201" s="1" t="str">
        <f t="shared" si="12"/>
        <v>13-8</v>
      </c>
      <c r="B201" s="26">
        <v>200</v>
      </c>
      <c r="C201" s="37" t="s">
        <v>420</v>
      </c>
      <c r="D201" s="103" t="s">
        <v>421</v>
      </c>
      <c r="E201" s="104" t="s">
        <v>23</v>
      </c>
      <c r="F201" s="94" t="s">
        <v>367</v>
      </c>
      <c r="G201" s="95">
        <v>28</v>
      </c>
      <c r="H201" s="95" t="str">
        <f t="shared" si="13"/>
        <v>XI-6_28</v>
      </c>
      <c r="I201" s="108">
        <v>8</v>
      </c>
      <c r="J201" s="108" t="str">
        <f t="shared" si="14"/>
        <v>3071575618-200</v>
      </c>
      <c r="K201" s="108" t="str">
        <f t="shared" si="15"/>
        <v>3071575618-200</v>
      </c>
      <c r="L201" s="108">
        <v>13</v>
      </c>
      <c r="M201" s="97"/>
      <c r="N201" s="98"/>
      <c r="O201" s="99">
        <v>200</v>
      </c>
    </row>
    <row r="202" spans="1:15" ht="15.5" x14ac:dyDescent="0.35">
      <c r="A202" s="1" t="str">
        <f t="shared" si="12"/>
        <v>13-9</v>
      </c>
      <c r="B202" s="26">
        <v>201</v>
      </c>
      <c r="C202" s="37" t="s">
        <v>422</v>
      </c>
      <c r="D202" s="103" t="s">
        <v>423</v>
      </c>
      <c r="E202" s="104" t="s">
        <v>23</v>
      </c>
      <c r="F202" s="94" t="s">
        <v>367</v>
      </c>
      <c r="G202" s="95">
        <v>29</v>
      </c>
      <c r="H202" s="95" t="str">
        <f t="shared" si="13"/>
        <v>XI-6_29</v>
      </c>
      <c r="I202" s="108">
        <v>9</v>
      </c>
      <c r="J202" s="108" t="str">
        <f t="shared" si="14"/>
        <v>0094908974-201</v>
      </c>
      <c r="K202" s="108" t="str">
        <f t="shared" si="15"/>
        <v>0094908974-201</v>
      </c>
      <c r="L202" s="108">
        <v>13</v>
      </c>
      <c r="M202" s="97"/>
      <c r="N202" s="98"/>
      <c r="O202" s="99">
        <v>201</v>
      </c>
    </row>
    <row r="203" spans="1:15" ht="15.5" x14ac:dyDescent="0.35">
      <c r="A203" s="1" t="str">
        <f t="shared" si="12"/>
        <v>13-10</v>
      </c>
      <c r="B203" s="26">
        <v>202</v>
      </c>
      <c r="C203" s="37" t="s">
        <v>424</v>
      </c>
      <c r="D203" s="103" t="s">
        <v>425</v>
      </c>
      <c r="E203" s="104" t="s">
        <v>13</v>
      </c>
      <c r="F203" s="94" t="s">
        <v>367</v>
      </c>
      <c r="G203" s="95">
        <v>30</v>
      </c>
      <c r="H203" s="95" t="str">
        <f t="shared" si="13"/>
        <v>XI-6_30</v>
      </c>
      <c r="I203" s="108">
        <v>10</v>
      </c>
      <c r="J203" s="108" t="str">
        <f t="shared" si="14"/>
        <v>0093262337-202</v>
      </c>
      <c r="K203" s="108" t="str">
        <f t="shared" si="15"/>
        <v>0093262337-202</v>
      </c>
      <c r="L203" s="108">
        <v>13</v>
      </c>
      <c r="M203" s="97"/>
      <c r="N203" s="98"/>
      <c r="O203" s="102">
        <v>202</v>
      </c>
    </row>
    <row r="204" spans="1:15" ht="15.5" x14ac:dyDescent="0.35">
      <c r="A204" s="1" t="str">
        <f t="shared" si="12"/>
        <v>13-11</v>
      </c>
      <c r="B204" s="26">
        <v>203</v>
      </c>
      <c r="C204" s="37" t="s">
        <v>426</v>
      </c>
      <c r="D204" s="103" t="s">
        <v>427</v>
      </c>
      <c r="E204" s="104" t="s">
        <v>23</v>
      </c>
      <c r="F204" s="94" t="s">
        <v>367</v>
      </c>
      <c r="G204" s="95">
        <v>31</v>
      </c>
      <c r="H204" s="95" t="str">
        <f t="shared" si="13"/>
        <v>XI-6_31</v>
      </c>
      <c r="I204" s="108">
        <v>11</v>
      </c>
      <c r="J204" s="108" t="str">
        <f t="shared" si="14"/>
        <v>0089918147-203</v>
      </c>
      <c r="K204" s="108" t="str">
        <f t="shared" si="15"/>
        <v>0089918147-203</v>
      </c>
      <c r="L204" s="108">
        <v>13</v>
      </c>
      <c r="M204" s="97"/>
      <c r="N204" s="98"/>
      <c r="O204" s="99">
        <v>203</v>
      </c>
    </row>
    <row r="205" spans="1:15" ht="15.5" x14ac:dyDescent="0.35">
      <c r="A205" s="1" t="str">
        <f t="shared" si="12"/>
        <v>13-12</v>
      </c>
      <c r="B205" s="26">
        <v>204</v>
      </c>
      <c r="C205" s="37" t="s">
        <v>428</v>
      </c>
      <c r="D205" s="103" t="s">
        <v>429</v>
      </c>
      <c r="E205" s="104" t="s">
        <v>23</v>
      </c>
      <c r="F205" s="94" t="s">
        <v>367</v>
      </c>
      <c r="G205" s="95">
        <v>32</v>
      </c>
      <c r="H205" s="95" t="str">
        <f t="shared" si="13"/>
        <v>XI-6_32</v>
      </c>
      <c r="I205" s="108">
        <v>12</v>
      </c>
      <c r="J205" s="108" t="str">
        <f t="shared" si="14"/>
        <v>0084593409-204</v>
      </c>
      <c r="K205" s="108" t="str">
        <f t="shared" si="15"/>
        <v>0084593409-204</v>
      </c>
      <c r="L205" s="108">
        <v>13</v>
      </c>
      <c r="M205" s="97"/>
      <c r="N205" s="98"/>
      <c r="O205" s="99">
        <v>204</v>
      </c>
    </row>
    <row r="206" spans="1:15" ht="15.5" x14ac:dyDescent="0.35">
      <c r="A206" s="1" t="str">
        <f t="shared" si="12"/>
        <v>13-13</v>
      </c>
      <c r="B206" s="26">
        <v>205</v>
      </c>
      <c r="C206" s="37" t="s">
        <v>430</v>
      </c>
      <c r="D206" s="103" t="s">
        <v>431</v>
      </c>
      <c r="E206" s="104" t="s">
        <v>23</v>
      </c>
      <c r="F206" s="94" t="s">
        <v>367</v>
      </c>
      <c r="G206" s="95">
        <v>33</v>
      </c>
      <c r="H206" s="95" t="str">
        <f t="shared" si="13"/>
        <v>XI-6_33</v>
      </c>
      <c r="I206" s="108">
        <v>13</v>
      </c>
      <c r="J206" s="108" t="str">
        <f t="shared" si="14"/>
        <v>0093273579-205</v>
      </c>
      <c r="K206" s="108" t="str">
        <f t="shared" si="15"/>
        <v>0093273579-205</v>
      </c>
      <c r="L206" s="108">
        <v>13</v>
      </c>
      <c r="M206" s="97"/>
      <c r="N206" s="98"/>
      <c r="O206" s="102">
        <v>205</v>
      </c>
    </row>
    <row r="207" spans="1:15" ht="15.5" x14ac:dyDescent="0.35">
      <c r="A207" s="1" t="str">
        <f t="shared" si="12"/>
        <v>13-14</v>
      </c>
      <c r="B207" s="26">
        <v>206</v>
      </c>
      <c r="C207" s="109" t="s">
        <v>432</v>
      </c>
      <c r="D207" s="110" t="s">
        <v>433</v>
      </c>
      <c r="E207" s="104" t="s">
        <v>23</v>
      </c>
      <c r="F207" s="94" t="s">
        <v>367</v>
      </c>
      <c r="G207" s="95">
        <v>34</v>
      </c>
      <c r="H207" s="95" t="str">
        <f t="shared" si="13"/>
        <v>XI-6_34</v>
      </c>
      <c r="I207" s="108">
        <v>14</v>
      </c>
      <c r="J207" s="108" t="str">
        <f t="shared" si="14"/>
        <v>0095520145-206</v>
      </c>
      <c r="K207" s="108" t="str">
        <f t="shared" si="15"/>
        <v>0095520145-206</v>
      </c>
      <c r="L207" s="108">
        <v>13</v>
      </c>
      <c r="M207" s="97"/>
      <c r="N207" s="98"/>
      <c r="O207" s="99">
        <v>206</v>
      </c>
    </row>
    <row r="208" spans="1:15" ht="15.5" x14ac:dyDescent="0.35">
      <c r="A208" s="1" t="str">
        <f t="shared" si="12"/>
        <v>13-15</v>
      </c>
      <c r="B208" s="26">
        <v>207</v>
      </c>
      <c r="C208" s="27" t="s">
        <v>434</v>
      </c>
      <c r="D208" s="111" t="s">
        <v>435</v>
      </c>
      <c r="E208" s="112" t="s">
        <v>13</v>
      </c>
      <c r="F208" s="113" t="s">
        <v>436</v>
      </c>
      <c r="G208" s="114">
        <v>1</v>
      </c>
      <c r="H208" s="114" t="str">
        <f t="shared" si="13"/>
        <v>XI-7_1</v>
      </c>
      <c r="I208" s="108">
        <v>15</v>
      </c>
      <c r="J208" s="108" t="str">
        <f t="shared" si="14"/>
        <v>0099709751-207</v>
      </c>
      <c r="K208" s="108" t="str">
        <f t="shared" si="15"/>
        <v>0099709751-207</v>
      </c>
      <c r="L208" s="108">
        <v>13</v>
      </c>
      <c r="M208" s="115"/>
      <c r="N208" s="116"/>
      <c r="O208" s="117">
        <v>207</v>
      </c>
    </row>
    <row r="209" spans="1:16" ht="15.5" x14ac:dyDescent="0.35">
      <c r="A209" s="1" t="str">
        <f t="shared" si="12"/>
        <v>13-16</v>
      </c>
      <c r="B209" s="26">
        <v>208</v>
      </c>
      <c r="C209" s="27" t="s">
        <v>437</v>
      </c>
      <c r="D209" s="111" t="s">
        <v>438</v>
      </c>
      <c r="E209" s="112" t="s">
        <v>23</v>
      </c>
      <c r="F209" s="113" t="s">
        <v>436</v>
      </c>
      <c r="G209" s="114">
        <v>2</v>
      </c>
      <c r="H209" s="114" t="str">
        <f t="shared" si="13"/>
        <v>XI-7_2</v>
      </c>
      <c r="I209" s="108">
        <v>16</v>
      </c>
      <c r="J209" s="108" t="str">
        <f t="shared" si="14"/>
        <v>0099119901-208</v>
      </c>
      <c r="K209" s="108" t="str">
        <f t="shared" si="15"/>
        <v>0099119901-208</v>
      </c>
      <c r="L209" s="108">
        <v>13</v>
      </c>
      <c r="M209" s="115"/>
      <c r="N209" s="116"/>
      <c r="O209" s="118">
        <v>208</v>
      </c>
      <c r="P209" s="119"/>
    </row>
    <row r="210" spans="1:16" ht="15.5" x14ac:dyDescent="0.35">
      <c r="A210" s="1" t="str">
        <f t="shared" si="12"/>
        <v>14-1</v>
      </c>
      <c r="B210" s="26">
        <v>209</v>
      </c>
      <c r="C210" s="27" t="s">
        <v>439</v>
      </c>
      <c r="D210" s="111" t="s">
        <v>440</v>
      </c>
      <c r="E210" s="112" t="s">
        <v>23</v>
      </c>
      <c r="F210" s="113" t="s">
        <v>436</v>
      </c>
      <c r="G210" s="114">
        <v>3</v>
      </c>
      <c r="H210" s="114" t="str">
        <f t="shared" si="13"/>
        <v>XI-7_3</v>
      </c>
      <c r="I210" s="114">
        <v>1</v>
      </c>
      <c r="J210" s="114" t="str">
        <f t="shared" si="14"/>
        <v>0095672049-209</v>
      </c>
      <c r="K210" s="114" t="str">
        <f t="shared" si="15"/>
        <v>0095672049-209</v>
      </c>
      <c r="L210" s="114">
        <v>14</v>
      </c>
      <c r="M210" s="115"/>
      <c r="N210" s="116"/>
      <c r="O210" s="117">
        <v>209</v>
      </c>
    </row>
    <row r="211" spans="1:16" ht="15.5" x14ac:dyDescent="0.35">
      <c r="A211" s="1" t="str">
        <f t="shared" si="12"/>
        <v>14-2</v>
      </c>
      <c r="B211" s="26">
        <v>210</v>
      </c>
      <c r="C211" s="27" t="s">
        <v>441</v>
      </c>
      <c r="D211" s="111" t="s">
        <v>442</v>
      </c>
      <c r="E211" s="112" t="s">
        <v>23</v>
      </c>
      <c r="F211" s="113" t="s">
        <v>436</v>
      </c>
      <c r="G211" s="114">
        <v>4</v>
      </c>
      <c r="H211" s="114" t="str">
        <f t="shared" si="13"/>
        <v>XI-7_4</v>
      </c>
      <c r="I211" s="114">
        <v>2</v>
      </c>
      <c r="J211" s="114" t="str">
        <f t="shared" si="14"/>
        <v>0081526578-210</v>
      </c>
      <c r="K211" s="114" t="str">
        <f t="shared" si="15"/>
        <v>0081526578-210</v>
      </c>
      <c r="L211" s="114">
        <v>14</v>
      </c>
      <c r="M211" s="115"/>
      <c r="N211" s="116"/>
      <c r="O211" s="117">
        <v>210</v>
      </c>
    </row>
    <row r="212" spans="1:16" ht="15.5" x14ac:dyDescent="0.35">
      <c r="A212" s="1" t="str">
        <f t="shared" si="12"/>
        <v>14-3</v>
      </c>
      <c r="B212" s="26">
        <v>211</v>
      </c>
      <c r="C212" s="27" t="s">
        <v>443</v>
      </c>
      <c r="D212" s="111" t="s">
        <v>444</v>
      </c>
      <c r="E212" s="112" t="s">
        <v>23</v>
      </c>
      <c r="F212" s="113" t="s">
        <v>436</v>
      </c>
      <c r="G212" s="114">
        <v>5</v>
      </c>
      <c r="H212" s="114" t="str">
        <f t="shared" si="13"/>
        <v>XI-7_5</v>
      </c>
      <c r="I212" s="114">
        <v>3</v>
      </c>
      <c r="J212" s="114" t="str">
        <f t="shared" si="14"/>
        <v>0082720479-211</v>
      </c>
      <c r="K212" s="114" t="str">
        <f t="shared" si="15"/>
        <v>0082720479-211</v>
      </c>
      <c r="L212" s="114">
        <v>14</v>
      </c>
      <c r="M212" s="115"/>
      <c r="N212" s="116"/>
      <c r="O212" s="118">
        <v>211</v>
      </c>
    </row>
    <row r="213" spans="1:16" ht="15.5" x14ac:dyDescent="0.35">
      <c r="A213" s="1" t="str">
        <f t="shared" si="12"/>
        <v>14-4</v>
      </c>
      <c r="B213" s="26">
        <v>212</v>
      </c>
      <c r="C213" s="37" t="s">
        <v>445</v>
      </c>
      <c r="D213" s="120" t="s">
        <v>446</v>
      </c>
      <c r="E213" s="121" t="s">
        <v>13</v>
      </c>
      <c r="F213" s="113" t="s">
        <v>436</v>
      </c>
      <c r="G213" s="114">
        <v>6</v>
      </c>
      <c r="H213" s="114" t="str">
        <f t="shared" si="13"/>
        <v>XI-7_6</v>
      </c>
      <c r="I213" s="114">
        <v>4</v>
      </c>
      <c r="J213" s="114" t="str">
        <f t="shared" si="14"/>
        <v>0089414477-212</v>
      </c>
      <c r="K213" s="114" t="str">
        <f t="shared" si="15"/>
        <v>0089414477-212</v>
      </c>
      <c r="L213" s="114">
        <v>14</v>
      </c>
      <c r="M213" s="115"/>
      <c r="N213" s="116"/>
      <c r="O213" s="117">
        <v>212</v>
      </c>
    </row>
    <row r="214" spans="1:16" ht="15.5" x14ac:dyDescent="0.35">
      <c r="A214" s="1" t="str">
        <f t="shared" si="12"/>
        <v>14-5</v>
      </c>
      <c r="B214" s="26">
        <v>213</v>
      </c>
      <c r="C214" s="37" t="s">
        <v>447</v>
      </c>
      <c r="D214" s="120" t="s">
        <v>448</v>
      </c>
      <c r="E214" s="121" t="s">
        <v>13</v>
      </c>
      <c r="F214" s="113" t="s">
        <v>436</v>
      </c>
      <c r="G214" s="114">
        <v>7</v>
      </c>
      <c r="H214" s="114" t="str">
        <f t="shared" si="13"/>
        <v>XI-7_7</v>
      </c>
      <c r="I214" s="114">
        <v>5</v>
      </c>
      <c r="J214" s="114" t="str">
        <f t="shared" si="14"/>
        <v>0091874155-213</v>
      </c>
      <c r="K214" s="114" t="str">
        <f t="shared" si="15"/>
        <v>0091874155-213</v>
      </c>
      <c r="L214" s="114">
        <v>14</v>
      </c>
      <c r="M214" s="115"/>
      <c r="N214" s="116"/>
      <c r="O214" s="117">
        <v>213</v>
      </c>
    </row>
    <row r="215" spans="1:16" ht="15.5" x14ac:dyDescent="0.35">
      <c r="A215" s="1" t="str">
        <f t="shared" si="12"/>
        <v>14-6</v>
      </c>
      <c r="B215" s="26">
        <v>214</v>
      </c>
      <c r="C215" s="37" t="s">
        <v>449</v>
      </c>
      <c r="D215" s="120" t="s">
        <v>450</v>
      </c>
      <c r="E215" s="121" t="s">
        <v>23</v>
      </c>
      <c r="F215" s="113" t="s">
        <v>436</v>
      </c>
      <c r="G215" s="114">
        <v>8</v>
      </c>
      <c r="H215" s="114" t="str">
        <f t="shared" si="13"/>
        <v>XI-7_8</v>
      </c>
      <c r="I215" s="114">
        <v>6</v>
      </c>
      <c r="J215" s="114" t="str">
        <f t="shared" si="14"/>
        <v>0093766395-214</v>
      </c>
      <c r="K215" s="114" t="str">
        <f t="shared" si="15"/>
        <v>0093766395-214</v>
      </c>
      <c r="L215" s="114">
        <v>14</v>
      </c>
      <c r="M215" s="115"/>
      <c r="N215" s="116"/>
      <c r="O215" s="118">
        <v>214</v>
      </c>
    </row>
    <row r="216" spans="1:16" ht="15.5" x14ac:dyDescent="0.35">
      <c r="A216" s="1" t="str">
        <f t="shared" si="12"/>
        <v>14-7</v>
      </c>
      <c r="B216" s="26">
        <v>215</v>
      </c>
      <c r="C216" s="41" t="s">
        <v>451</v>
      </c>
      <c r="D216" s="122" t="s">
        <v>452</v>
      </c>
      <c r="E216" s="123" t="s">
        <v>23</v>
      </c>
      <c r="F216" s="113" t="s">
        <v>436</v>
      </c>
      <c r="G216" s="114">
        <v>9</v>
      </c>
      <c r="H216" s="114" t="str">
        <f t="shared" si="13"/>
        <v>XI-7_9</v>
      </c>
      <c r="I216" s="114">
        <v>7</v>
      </c>
      <c r="J216" s="114" t="str">
        <f t="shared" si="14"/>
        <v>0081277807-215</v>
      </c>
      <c r="K216" s="114" t="str">
        <f t="shared" si="15"/>
        <v>0081277807-215</v>
      </c>
      <c r="L216" s="114">
        <v>14</v>
      </c>
      <c r="M216" s="115"/>
      <c r="N216" s="116"/>
      <c r="O216" s="117">
        <v>215</v>
      </c>
    </row>
    <row r="217" spans="1:16" ht="15.5" x14ac:dyDescent="0.35">
      <c r="A217" s="1" t="str">
        <f t="shared" si="12"/>
        <v>14-8</v>
      </c>
      <c r="B217" s="26">
        <v>216</v>
      </c>
      <c r="C217" s="41" t="s">
        <v>453</v>
      </c>
      <c r="D217" s="124" t="s">
        <v>454</v>
      </c>
      <c r="E217" s="121" t="s">
        <v>13</v>
      </c>
      <c r="F217" s="113" t="s">
        <v>436</v>
      </c>
      <c r="G217" s="114">
        <v>10</v>
      </c>
      <c r="H217" s="114" t="str">
        <f t="shared" si="13"/>
        <v>XI-7_10</v>
      </c>
      <c r="I217" s="114">
        <v>8</v>
      </c>
      <c r="J217" s="114" t="str">
        <f t="shared" si="14"/>
        <v>0091867656-216</v>
      </c>
      <c r="K217" s="114" t="str">
        <f t="shared" si="15"/>
        <v>0091867656-216</v>
      </c>
      <c r="L217" s="114">
        <v>14</v>
      </c>
      <c r="M217" s="115"/>
      <c r="N217" s="116"/>
      <c r="O217" s="117">
        <v>216</v>
      </c>
    </row>
    <row r="218" spans="1:16" ht="15.5" x14ac:dyDescent="0.35">
      <c r="A218" s="1" t="str">
        <f t="shared" si="12"/>
        <v>14-9</v>
      </c>
      <c r="B218" s="26">
        <v>217</v>
      </c>
      <c r="C218" s="37" t="s">
        <v>455</v>
      </c>
      <c r="D218" s="120" t="s">
        <v>456</v>
      </c>
      <c r="E218" s="121" t="s">
        <v>13</v>
      </c>
      <c r="F218" s="113" t="s">
        <v>436</v>
      </c>
      <c r="G218" s="114">
        <v>11</v>
      </c>
      <c r="H218" s="114" t="str">
        <f t="shared" si="13"/>
        <v>XI-7_11</v>
      </c>
      <c r="I218" s="114">
        <v>9</v>
      </c>
      <c r="J218" s="114" t="str">
        <f t="shared" si="14"/>
        <v>0087186250-217</v>
      </c>
      <c r="K218" s="114" t="str">
        <f t="shared" si="15"/>
        <v>0087186250-217</v>
      </c>
      <c r="L218" s="114">
        <v>14</v>
      </c>
      <c r="M218" s="115"/>
      <c r="N218" s="116"/>
      <c r="O218" s="118">
        <v>217</v>
      </c>
    </row>
    <row r="219" spans="1:16" ht="15.5" x14ac:dyDescent="0.35">
      <c r="A219" s="1" t="str">
        <f t="shared" si="12"/>
        <v>14-10</v>
      </c>
      <c r="B219" s="26">
        <v>218</v>
      </c>
      <c r="C219" s="37" t="s">
        <v>457</v>
      </c>
      <c r="D219" s="120" t="s">
        <v>458</v>
      </c>
      <c r="E219" s="121" t="s">
        <v>23</v>
      </c>
      <c r="F219" s="113" t="s">
        <v>436</v>
      </c>
      <c r="G219" s="114">
        <v>12</v>
      </c>
      <c r="H219" s="114" t="str">
        <f t="shared" si="13"/>
        <v>XI-7_12</v>
      </c>
      <c r="I219" s="114">
        <v>10</v>
      </c>
      <c r="J219" s="114" t="str">
        <f t="shared" si="14"/>
        <v>0097764226-218</v>
      </c>
      <c r="K219" s="114" t="str">
        <f t="shared" si="15"/>
        <v>0097764226-218</v>
      </c>
      <c r="L219" s="114">
        <v>14</v>
      </c>
      <c r="M219" s="115"/>
      <c r="N219" s="116"/>
      <c r="O219" s="117">
        <v>218</v>
      </c>
    </row>
    <row r="220" spans="1:16" ht="15.5" x14ac:dyDescent="0.35">
      <c r="A220" s="1" t="str">
        <f t="shared" si="12"/>
        <v>14-11</v>
      </c>
      <c r="B220" s="26">
        <v>219</v>
      </c>
      <c r="C220" s="37" t="s">
        <v>459</v>
      </c>
      <c r="D220" s="120" t="s">
        <v>460</v>
      </c>
      <c r="E220" s="121" t="s">
        <v>13</v>
      </c>
      <c r="F220" s="113" t="s">
        <v>436</v>
      </c>
      <c r="G220" s="114">
        <v>13</v>
      </c>
      <c r="H220" s="114" t="str">
        <f t="shared" si="13"/>
        <v>XI-7_13</v>
      </c>
      <c r="I220" s="114">
        <v>11</v>
      </c>
      <c r="J220" s="114" t="str">
        <f t="shared" si="14"/>
        <v>0093928426-219</v>
      </c>
      <c r="K220" s="114" t="str">
        <f t="shared" si="15"/>
        <v>0093928426-219</v>
      </c>
      <c r="L220" s="114">
        <v>14</v>
      </c>
      <c r="M220" s="115"/>
      <c r="N220" s="116"/>
      <c r="O220" s="117">
        <v>219</v>
      </c>
    </row>
    <row r="221" spans="1:16" ht="15.5" x14ac:dyDescent="0.35">
      <c r="A221" s="1" t="str">
        <f t="shared" si="12"/>
        <v>14-12</v>
      </c>
      <c r="B221" s="26">
        <v>220</v>
      </c>
      <c r="C221" s="37" t="s">
        <v>461</v>
      </c>
      <c r="D221" s="120" t="s">
        <v>462</v>
      </c>
      <c r="E221" s="121" t="s">
        <v>13</v>
      </c>
      <c r="F221" s="113" t="s">
        <v>436</v>
      </c>
      <c r="G221" s="114">
        <v>14</v>
      </c>
      <c r="H221" s="114" t="str">
        <f t="shared" si="13"/>
        <v>XI-7_14</v>
      </c>
      <c r="I221" s="114">
        <v>12</v>
      </c>
      <c r="J221" s="114" t="str">
        <f t="shared" si="14"/>
        <v>0083832239-220</v>
      </c>
      <c r="K221" s="114" t="str">
        <f t="shared" si="15"/>
        <v>0083832239-220</v>
      </c>
      <c r="L221" s="114">
        <v>14</v>
      </c>
      <c r="M221" s="115"/>
      <c r="N221" s="116"/>
      <c r="O221" s="118">
        <v>220</v>
      </c>
    </row>
    <row r="222" spans="1:16" ht="15.5" x14ac:dyDescent="0.35">
      <c r="A222" s="1" t="str">
        <f t="shared" si="12"/>
        <v>14-13</v>
      </c>
      <c r="B222" s="26">
        <v>221</v>
      </c>
      <c r="C222" s="37" t="s">
        <v>463</v>
      </c>
      <c r="D222" s="120" t="s">
        <v>464</v>
      </c>
      <c r="E222" s="121" t="s">
        <v>13</v>
      </c>
      <c r="F222" s="113" t="s">
        <v>436</v>
      </c>
      <c r="G222" s="114">
        <v>15</v>
      </c>
      <c r="H222" s="114" t="str">
        <f t="shared" si="13"/>
        <v>XI-7_15</v>
      </c>
      <c r="I222" s="114">
        <v>13</v>
      </c>
      <c r="J222" s="114" t="str">
        <f t="shared" si="14"/>
        <v>0093150455-221</v>
      </c>
      <c r="K222" s="114" t="str">
        <f t="shared" si="15"/>
        <v>0093150455-221</v>
      </c>
      <c r="L222" s="114">
        <v>14</v>
      </c>
      <c r="M222" s="115"/>
      <c r="N222" s="116"/>
      <c r="O222" s="117">
        <v>221</v>
      </c>
    </row>
    <row r="223" spans="1:16" ht="15.5" x14ac:dyDescent="0.35">
      <c r="A223" s="1" t="str">
        <f t="shared" si="12"/>
        <v>14-14</v>
      </c>
      <c r="B223" s="26">
        <v>222</v>
      </c>
      <c r="C223" s="37" t="s">
        <v>465</v>
      </c>
      <c r="D223" s="120" t="s">
        <v>466</v>
      </c>
      <c r="E223" s="121" t="s">
        <v>23</v>
      </c>
      <c r="F223" s="113" t="s">
        <v>436</v>
      </c>
      <c r="G223" s="114">
        <v>16</v>
      </c>
      <c r="H223" s="114" t="str">
        <f t="shared" si="13"/>
        <v>XI-7_16</v>
      </c>
      <c r="I223" s="114">
        <v>14</v>
      </c>
      <c r="J223" s="114" t="str">
        <f t="shared" si="14"/>
        <v>0093405892-222</v>
      </c>
      <c r="K223" s="114" t="str">
        <f t="shared" si="15"/>
        <v>0093405892-222</v>
      </c>
      <c r="L223" s="114">
        <v>14</v>
      </c>
      <c r="M223" s="115"/>
      <c r="N223" s="116"/>
      <c r="O223" s="117">
        <v>222</v>
      </c>
    </row>
    <row r="224" spans="1:16" ht="15.5" x14ac:dyDescent="0.35">
      <c r="A224" s="1" t="str">
        <f t="shared" si="12"/>
        <v>14-15</v>
      </c>
      <c r="B224" s="26">
        <v>223</v>
      </c>
      <c r="C224" s="37" t="s">
        <v>467</v>
      </c>
      <c r="D224" s="120" t="s">
        <v>468</v>
      </c>
      <c r="E224" s="121" t="s">
        <v>23</v>
      </c>
      <c r="F224" s="113" t="s">
        <v>436</v>
      </c>
      <c r="G224" s="114">
        <v>17</v>
      </c>
      <c r="H224" s="114" t="str">
        <f t="shared" si="13"/>
        <v>XI-7_17</v>
      </c>
      <c r="I224" s="114">
        <v>15</v>
      </c>
      <c r="J224" s="114" t="str">
        <f t="shared" si="14"/>
        <v>0086201791-223</v>
      </c>
      <c r="K224" s="114" t="str">
        <f t="shared" si="15"/>
        <v>0086201791-223</v>
      </c>
      <c r="L224" s="114">
        <v>14</v>
      </c>
      <c r="M224" s="115"/>
      <c r="N224" s="116"/>
      <c r="O224" s="118">
        <v>223</v>
      </c>
    </row>
    <row r="225" spans="1:15" ht="15.5" x14ac:dyDescent="0.35">
      <c r="A225" s="1" t="str">
        <f t="shared" si="12"/>
        <v>14-16</v>
      </c>
      <c r="B225" s="26">
        <v>224</v>
      </c>
      <c r="C225" s="37" t="s">
        <v>469</v>
      </c>
      <c r="D225" s="120" t="s">
        <v>470</v>
      </c>
      <c r="E225" s="121" t="s">
        <v>23</v>
      </c>
      <c r="F225" s="113" t="s">
        <v>436</v>
      </c>
      <c r="G225" s="114">
        <v>18</v>
      </c>
      <c r="H225" s="114" t="str">
        <f t="shared" si="13"/>
        <v>XI-7_18</v>
      </c>
      <c r="I225" s="114">
        <v>16</v>
      </c>
      <c r="J225" s="114" t="str">
        <f t="shared" si="14"/>
        <v>0085375131-224</v>
      </c>
      <c r="K225" s="114" t="str">
        <f t="shared" si="15"/>
        <v>0085375131-224</v>
      </c>
      <c r="L225" s="114">
        <v>14</v>
      </c>
      <c r="M225" s="115"/>
      <c r="N225" s="116"/>
      <c r="O225" s="117">
        <v>224</v>
      </c>
    </row>
    <row r="226" spans="1:15" ht="15.5" x14ac:dyDescent="0.35">
      <c r="A226" s="1" t="str">
        <f t="shared" si="12"/>
        <v>15-1</v>
      </c>
      <c r="B226" s="26">
        <v>225</v>
      </c>
      <c r="C226" s="37" t="s">
        <v>471</v>
      </c>
      <c r="D226" s="120" t="s">
        <v>472</v>
      </c>
      <c r="E226" s="121" t="s">
        <v>13</v>
      </c>
      <c r="F226" s="113" t="s">
        <v>436</v>
      </c>
      <c r="G226" s="114">
        <v>19</v>
      </c>
      <c r="H226" s="114" t="str">
        <f t="shared" si="13"/>
        <v>XI-7_19</v>
      </c>
      <c r="I226" s="31">
        <v>1</v>
      </c>
      <c r="J226" s="31" t="str">
        <f t="shared" si="14"/>
        <v>0099806571-225</v>
      </c>
      <c r="K226" s="31" t="str">
        <f t="shared" si="15"/>
        <v>0099806571-225</v>
      </c>
      <c r="L226" s="31">
        <v>15</v>
      </c>
      <c r="M226" s="115"/>
      <c r="N226" s="116"/>
      <c r="O226" s="117">
        <v>225</v>
      </c>
    </row>
    <row r="227" spans="1:15" ht="15.5" x14ac:dyDescent="0.35">
      <c r="A227" s="1" t="str">
        <f t="shared" si="12"/>
        <v>15-2</v>
      </c>
      <c r="B227" s="26">
        <v>226</v>
      </c>
      <c r="C227" s="37" t="s">
        <v>473</v>
      </c>
      <c r="D227" s="120" t="s">
        <v>474</v>
      </c>
      <c r="E227" s="121" t="s">
        <v>13</v>
      </c>
      <c r="F227" s="113" t="s">
        <v>436</v>
      </c>
      <c r="G227" s="114">
        <v>20</v>
      </c>
      <c r="H227" s="114" t="str">
        <f t="shared" si="13"/>
        <v>XI-7_20</v>
      </c>
      <c r="I227" s="31">
        <v>2</v>
      </c>
      <c r="J227" s="31" t="str">
        <f t="shared" si="14"/>
        <v>0091340696-226</v>
      </c>
      <c r="K227" s="31" t="str">
        <f t="shared" si="15"/>
        <v>0091340696-226</v>
      </c>
      <c r="L227" s="31">
        <v>15</v>
      </c>
      <c r="M227" s="115"/>
      <c r="N227" s="116"/>
      <c r="O227" s="118">
        <v>226</v>
      </c>
    </row>
    <row r="228" spans="1:15" ht="15.5" x14ac:dyDescent="0.35">
      <c r="A228" s="1" t="str">
        <f t="shared" si="12"/>
        <v>15-3</v>
      </c>
      <c r="B228" s="26">
        <v>227</v>
      </c>
      <c r="C228" s="37" t="s">
        <v>475</v>
      </c>
      <c r="D228" s="120" t="s">
        <v>476</v>
      </c>
      <c r="E228" s="121" t="s">
        <v>13</v>
      </c>
      <c r="F228" s="113" t="s">
        <v>436</v>
      </c>
      <c r="G228" s="114">
        <v>21</v>
      </c>
      <c r="H228" s="114" t="str">
        <f t="shared" si="13"/>
        <v>XI-7_21</v>
      </c>
      <c r="I228" s="31">
        <v>3</v>
      </c>
      <c r="J228" s="31" t="str">
        <f t="shared" si="14"/>
        <v>0081377676-227</v>
      </c>
      <c r="K228" s="31" t="str">
        <f t="shared" si="15"/>
        <v>0081377676-227</v>
      </c>
      <c r="L228" s="31">
        <v>15</v>
      </c>
      <c r="M228" s="115"/>
      <c r="N228" s="116"/>
      <c r="O228" s="117">
        <v>227</v>
      </c>
    </row>
    <row r="229" spans="1:15" ht="15.5" x14ac:dyDescent="0.35">
      <c r="A229" s="1" t="str">
        <f t="shared" si="12"/>
        <v>15-4</v>
      </c>
      <c r="B229" s="26">
        <v>228</v>
      </c>
      <c r="C229" s="37" t="s">
        <v>477</v>
      </c>
      <c r="D229" s="120" t="s">
        <v>478</v>
      </c>
      <c r="E229" s="121" t="s">
        <v>23</v>
      </c>
      <c r="F229" s="113" t="s">
        <v>436</v>
      </c>
      <c r="G229" s="114">
        <v>22</v>
      </c>
      <c r="H229" s="114" t="str">
        <f t="shared" si="13"/>
        <v>XI-7_22</v>
      </c>
      <c r="I229" s="31">
        <v>4</v>
      </c>
      <c r="J229" s="31" t="str">
        <f t="shared" si="14"/>
        <v>0097890762-228</v>
      </c>
      <c r="K229" s="31" t="str">
        <f t="shared" si="15"/>
        <v>0097890762-228</v>
      </c>
      <c r="L229" s="31">
        <v>15</v>
      </c>
      <c r="M229" s="115"/>
      <c r="N229" s="116"/>
      <c r="O229" s="117">
        <v>228</v>
      </c>
    </row>
    <row r="230" spans="1:15" ht="15.5" x14ac:dyDescent="0.35">
      <c r="A230" s="1" t="str">
        <f t="shared" si="12"/>
        <v>15-5</v>
      </c>
      <c r="B230" s="26">
        <v>229</v>
      </c>
      <c r="C230" s="37" t="s">
        <v>479</v>
      </c>
      <c r="D230" s="120" t="s">
        <v>480</v>
      </c>
      <c r="E230" s="121" t="s">
        <v>23</v>
      </c>
      <c r="F230" s="113" t="s">
        <v>436</v>
      </c>
      <c r="G230" s="114">
        <v>23</v>
      </c>
      <c r="H230" s="114" t="str">
        <f t="shared" si="13"/>
        <v>XI-7_23</v>
      </c>
      <c r="I230" s="31">
        <v>5</v>
      </c>
      <c r="J230" s="31" t="str">
        <f t="shared" si="14"/>
        <v>0093884319-229</v>
      </c>
      <c r="K230" s="31" t="str">
        <f t="shared" si="15"/>
        <v>0093884319-229</v>
      </c>
      <c r="L230" s="31">
        <v>15</v>
      </c>
      <c r="M230" s="115"/>
      <c r="N230" s="116"/>
      <c r="O230" s="118">
        <v>229</v>
      </c>
    </row>
    <row r="231" spans="1:15" ht="15.5" x14ac:dyDescent="0.35">
      <c r="A231" s="1" t="str">
        <f t="shared" si="12"/>
        <v>15-6</v>
      </c>
      <c r="B231" s="26">
        <v>230</v>
      </c>
      <c r="C231" s="37" t="s">
        <v>481</v>
      </c>
      <c r="D231" s="120" t="s">
        <v>482</v>
      </c>
      <c r="E231" s="121" t="s">
        <v>23</v>
      </c>
      <c r="F231" s="113" t="s">
        <v>436</v>
      </c>
      <c r="G231" s="114">
        <v>24</v>
      </c>
      <c r="H231" s="114" t="str">
        <f t="shared" si="13"/>
        <v>XI-7_24</v>
      </c>
      <c r="I231" s="31">
        <v>6</v>
      </c>
      <c r="J231" s="31" t="str">
        <f t="shared" si="14"/>
        <v>0091279770-230</v>
      </c>
      <c r="K231" s="31" t="str">
        <f t="shared" si="15"/>
        <v>0091279770-230</v>
      </c>
      <c r="L231" s="31">
        <v>15</v>
      </c>
      <c r="M231" s="115"/>
      <c r="N231" s="116"/>
      <c r="O231" s="117">
        <v>230</v>
      </c>
    </row>
    <row r="232" spans="1:15" ht="15.5" x14ac:dyDescent="0.35">
      <c r="A232" s="1" t="str">
        <f t="shared" si="12"/>
        <v>15-7</v>
      </c>
      <c r="B232" s="26">
        <v>231</v>
      </c>
      <c r="C232" s="37" t="s">
        <v>483</v>
      </c>
      <c r="D232" s="120" t="s">
        <v>484</v>
      </c>
      <c r="E232" s="121" t="s">
        <v>13</v>
      </c>
      <c r="F232" s="113" t="s">
        <v>436</v>
      </c>
      <c r="G232" s="114">
        <v>25</v>
      </c>
      <c r="H232" s="114" t="str">
        <f t="shared" si="13"/>
        <v>XI-7_25</v>
      </c>
      <c r="I232" s="31">
        <v>7</v>
      </c>
      <c r="J232" s="31" t="str">
        <f t="shared" si="14"/>
        <v>0086388182-231</v>
      </c>
      <c r="K232" s="31" t="str">
        <f t="shared" si="15"/>
        <v>0086388182-231</v>
      </c>
      <c r="L232" s="31">
        <v>15</v>
      </c>
      <c r="M232" s="115"/>
      <c r="N232" s="116"/>
      <c r="O232" s="117">
        <v>231</v>
      </c>
    </row>
    <row r="233" spans="1:15" ht="15.5" x14ac:dyDescent="0.35">
      <c r="A233" s="1" t="str">
        <f t="shared" si="12"/>
        <v>15-8</v>
      </c>
      <c r="B233" s="26">
        <v>232</v>
      </c>
      <c r="C233" s="37" t="s">
        <v>485</v>
      </c>
      <c r="D233" s="120" t="s">
        <v>486</v>
      </c>
      <c r="E233" s="121" t="s">
        <v>13</v>
      </c>
      <c r="F233" s="113" t="s">
        <v>436</v>
      </c>
      <c r="G233" s="114">
        <v>26</v>
      </c>
      <c r="H233" s="114" t="str">
        <f t="shared" si="13"/>
        <v>XI-7_26</v>
      </c>
      <c r="I233" s="31">
        <v>8</v>
      </c>
      <c r="J233" s="31" t="str">
        <f t="shared" si="14"/>
        <v>0077943637-232</v>
      </c>
      <c r="K233" s="31" t="str">
        <f t="shared" si="15"/>
        <v>0077943637-232</v>
      </c>
      <c r="L233" s="31">
        <v>15</v>
      </c>
      <c r="M233" s="115"/>
      <c r="N233" s="116"/>
      <c r="O233" s="118">
        <v>232</v>
      </c>
    </row>
    <row r="234" spans="1:15" ht="15.5" x14ac:dyDescent="0.35">
      <c r="A234" s="1" t="str">
        <f t="shared" si="12"/>
        <v>15-9</v>
      </c>
      <c r="B234" s="26">
        <v>233</v>
      </c>
      <c r="C234" s="37" t="s">
        <v>487</v>
      </c>
      <c r="D234" s="120" t="s">
        <v>488</v>
      </c>
      <c r="E234" s="121" t="s">
        <v>13</v>
      </c>
      <c r="F234" s="113" t="s">
        <v>436</v>
      </c>
      <c r="G234" s="114">
        <v>27</v>
      </c>
      <c r="H234" s="114" t="str">
        <f t="shared" si="13"/>
        <v>XI-7_27</v>
      </c>
      <c r="I234" s="31">
        <v>9</v>
      </c>
      <c r="J234" s="31" t="str">
        <f t="shared" si="14"/>
        <v>0085812598-233</v>
      </c>
      <c r="K234" s="31" t="str">
        <f t="shared" si="15"/>
        <v>0085812598-233</v>
      </c>
      <c r="L234" s="31">
        <v>15</v>
      </c>
      <c r="M234" s="115"/>
      <c r="N234" s="116"/>
      <c r="O234" s="117">
        <v>233</v>
      </c>
    </row>
    <row r="235" spans="1:15" ht="15.5" x14ac:dyDescent="0.35">
      <c r="A235" s="1" t="str">
        <f t="shared" si="12"/>
        <v>15-10</v>
      </c>
      <c r="B235" s="26">
        <v>234</v>
      </c>
      <c r="C235" s="37" t="s">
        <v>489</v>
      </c>
      <c r="D235" s="120" t="s">
        <v>490</v>
      </c>
      <c r="E235" s="121" t="s">
        <v>13</v>
      </c>
      <c r="F235" s="113" t="s">
        <v>436</v>
      </c>
      <c r="G235" s="114">
        <v>28</v>
      </c>
      <c r="H235" s="114" t="str">
        <f t="shared" si="13"/>
        <v>XI-7_28</v>
      </c>
      <c r="I235" s="31">
        <v>10</v>
      </c>
      <c r="J235" s="31" t="str">
        <f t="shared" si="14"/>
        <v>0092595618-234</v>
      </c>
      <c r="K235" s="31" t="str">
        <f t="shared" si="15"/>
        <v>0092595618-234</v>
      </c>
      <c r="L235" s="31">
        <v>15</v>
      </c>
      <c r="M235" s="115"/>
      <c r="N235" s="116"/>
      <c r="O235" s="117">
        <v>234</v>
      </c>
    </row>
    <row r="236" spans="1:15" ht="15.5" x14ac:dyDescent="0.35">
      <c r="A236" s="1" t="str">
        <f t="shared" si="12"/>
        <v>15-11</v>
      </c>
      <c r="B236" s="26">
        <v>235</v>
      </c>
      <c r="C236" s="37" t="s">
        <v>491</v>
      </c>
      <c r="D236" s="120" t="s">
        <v>492</v>
      </c>
      <c r="E236" s="121" t="s">
        <v>13</v>
      </c>
      <c r="F236" s="113" t="s">
        <v>436</v>
      </c>
      <c r="G236" s="114">
        <v>29</v>
      </c>
      <c r="H236" s="114" t="str">
        <f t="shared" si="13"/>
        <v>XI-7_29</v>
      </c>
      <c r="I236" s="31">
        <v>11</v>
      </c>
      <c r="J236" s="31" t="str">
        <f t="shared" si="14"/>
        <v>0086544814-235</v>
      </c>
      <c r="K236" s="31" t="str">
        <f t="shared" si="15"/>
        <v>0086544814-235</v>
      </c>
      <c r="L236" s="31">
        <v>15</v>
      </c>
      <c r="M236" s="115"/>
      <c r="N236" s="116"/>
      <c r="O236" s="118">
        <v>235</v>
      </c>
    </row>
    <row r="237" spans="1:15" ht="15.5" x14ac:dyDescent="0.35">
      <c r="A237" s="1" t="str">
        <f t="shared" si="12"/>
        <v>15-12</v>
      </c>
      <c r="B237" s="26">
        <v>236</v>
      </c>
      <c r="C237" s="37" t="s">
        <v>493</v>
      </c>
      <c r="D237" s="120" t="s">
        <v>494</v>
      </c>
      <c r="E237" s="121" t="s">
        <v>13</v>
      </c>
      <c r="F237" s="113" t="s">
        <v>436</v>
      </c>
      <c r="G237" s="114">
        <v>30</v>
      </c>
      <c r="H237" s="114" t="str">
        <f t="shared" si="13"/>
        <v>XI-7_30</v>
      </c>
      <c r="I237" s="31">
        <v>12</v>
      </c>
      <c r="J237" s="31" t="str">
        <f t="shared" si="14"/>
        <v>0091922387-236</v>
      </c>
      <c r="K237" s="31" t="str">
        <f t="shared" si="15"/>
        <v>0091922387-236</v>
      </c>
      <c r="L237" s="31">
        <v>15</v>
      </c>
      <c r="M237" s="115"/>
      <c r="N237" s="116"/>
      <c r="O237" s="117">
        <v>236</v>
      </c>
    </row>
    <row r="238" spans="1:15" ht="15.5" x14ac:dyDescent="0.35">
      <c r="A238" s="1" t="str">
        <f t="shared" si="12"/>
        <v>15-13</v>
      </c>
      <c r="B238" s="26">
        <v>237</v>
      </c>
      <c r="C238" s="37" t="s">
        <v>495</v>
      </c>
      <c r="D238" s="120" t="s">
        <v>496</v>
      </c>
      <c r="E238" s="121" t="s">
        <v>13</v>
      </c>
      <c r="F238" s="113" t="s">
        <v>436</v>
      </c>
      <c r="G238" s="114">
        <v>31</v>
      </c>
      <c r="H238" s="114" t="str">
        <f t="shared" si="13"/>
        <v>XI-7_31</v>
      </c>
      <c r="I238" s="31">
        <v>13</v>
      </c>
      <c r="J238" s="31" t="str">
        <f t="shared" si="14"/>
        <v>0084034693-237</v>
      </c>
      <c r="K238" s="31" t="str">
        <f t="shared" si="15"/>
        <v>0084034693-237</v>
      </c>
      <c r="L238" s="31">
        <v>15</v>
      </c>
      <c r="M238" s="115"/>
      <c r="N238" s="116"/>
      <c r="O238" s="117">
        <v>237</v>
      </c>
    </row>
    <row r="239" spans="1:15" ht="15.5" x14ac:dyDescent="0.35">
      <c r="A239" s="1" t="str">
        <f t="shared" si="12"/>
        <v>15-14</v>
      </c>
      <c r="B239" s="26">
        <v>238</v>
      </c>
      <c r="C239" s="37" t="s">
        <v>497</v>
      </c>
      <c r="D239" s="120" t="s">
        <v>498</v>
      </c>
      <c r="E239" s="121" t="s">
        <v>23</v>
      </c>
      <c r="F239" s="113" t="s">
        <v>436</v>
      </c>
      <c r="G239" s="114">
        <v>32</v>
      </c>
      <c r="H239" s="114" t="str">
        <f t="shared" si="13"/>
        <v>XI-7_32</v>
      </c>
      <c r="I239" s="31">
        <v>14</v>
      </c>
      <c r="J239" s="31" t="str">
        <f t="shared" si="14"/>
        <v>0089256591-238</v>
      </c>
      <c r="K239" s="31" t="str">
        <f t="shared" si="15"/>
        <v>0089256591-238</v>
      </c>
      <c r="L239" s="31">
        <v>15</v>
      </c>
      <c r="M239" s="115"/>
      <c r="N239" s="116"/>
      <c r="O239" s="118">
        <v>238</v>
      </c>
    </row>
    <row r="240" spans="1:15" ht="15.5" x14ac:dyDescent="0.35">
      <c r="A240" s="1" t="str">
        <f t="shared" si="12"/>
        <v>15-15</v>
      </c>
      <c r="B240" s="26">
        <v>239</v>
      </c>
      <c r="C240" s="125" t="s">
        <v>499</v>
      </c>
      <c r="D240" s="126" t="s">
        <v>500</v>
      </c>
      <c r="E240" s="127" t="s">
        <v>23</v>
      </c>
      <c r="F240" s="128" t="s">
        <v>501</v>
      </c>
      <c r="G240" s="129">
        <v>1</v>
      </c>
      <c r="H240" s="129" t="str">
        <f t="shared" si="13"/>
        <v>XI-8_1</v>
      </c>
      <c r="I240" s="31">
        <v>15</v>
      </c>
      <c r="J240" s="19" t="str">
        <f t="shared" si="14"/>
        <v>0088767013-239</v>
      </c>
      <c r="K240" s="19" t="str">
        <f t="shared" si="15"/>
        <v>0088767013-239</v>
      </c>
      <c r="L240" s="31">
        <v>15</v>
      </c>
      <c r="M240" s="130"/>
      <c r="N240" s="131"/>
      <c r="O240" s="132">
        <v>239</v>
      </c>
    </row>
    <row r="241" spans="1:15" ht="15.5" x14ac:dyDescent="0.35">
      <c r="A241" s="1" t="str">
        <f t="shared" si="12"/>
        <v>15-16</v>
      </c>
      <c r="B241" s="26">
        <v>240</v>
      </c>
      <c r="C241" s="125" t="s">
        <v>502</v>
      </c>
      <c r="D241" s="126" t="s">
        <v>503</v>
      </c>
      <c r="E241" s="127" t="s">
        <v>13</v>
      </c>
      <c r="F241" s="128" t="s">
        <v>501</v>
      </c>
      <c r="G241" s="129">
        <v>2</v>
      </c>
      <c r="H241" s="129" t="str">
        <f t="shared" si="13"/>
        <v>XI-8_2</v>
      </c>
      <c r="I241" s="31">
        <v>16</v>
      </c>
      <c r="J241" s="19" t="str">
        <f t="shared" si="14"/>
        <v>0088805673-240</v>
      </c>
      <c r="K241" s="19" t="str">
        <f t="shared" si="15"/>
        <v>0088805673-240</v>
      </c>
      <c r="L241" s="31">
        <v>15</v>
      </c>
      <c r="M241" s="130"/>
      <c r="N241" s="131"/>
      <c r="O241" s="132">
        <v>240</v>
      </c>
    </row>
    <row r="242" spans="1:15" ht="15.5" x14ac:dyDescent="0.35">
      <c r="A242" s="1" t="str">
        <f t="shared" si="12"/>
        <v>16-1</v>
      </c>
      <c r="B242" s="26">
        <v>241</v>
      </c>
      <c r="C242" s="125" t="s">
        <v>504</v>
      </c>
      <c r="D242" s="126" t="s">
        <v>505</v>
      </c>
      <c r="E242" s="127" t="s">
        <v>13</v>
      </c>
      <c r="F242" s="128" t="s">
        <v>501</v>
      </c>
      <c r="G242" s="129">
        <v>3</v>
      </c>
      <c r="H242" s="129" t="str">
        <f t="shared" si="13"/>
        <v>XI-8_3</v>
      </c>
      <c r="I242" s="133">
        <v>1</v>
      </c>
      <c r="J242" s="133" t="str">
        <f t="shared" si="14"/>
        <v>0084449709-241</v>
      </c>
      <c r="K242" s="133" t="str">
        <f t="shared" si="15"/>
        <v>0084449709-241</v>
      </c>
      <c r="L242" s="133">
        <v>16</v>
      </c>
      <c r="M242" s="130"/>
      <c r="N242" s="131"/>
      <c r="O242" s="132">
        <v>241</v>
      </c>
    </row>
    <row r="243" spans="1:15" ht="15.5" x14ac:dyDescent="0.35">
      <c r="A243" s="1" t="str">
        <f t="shared" si="12"/>
        <v>16-2</v>
      </c>
      <c r="B243" s="26">
        <v>242</v>
      </c>
      <c r="C243" s="125" t="s">
        <v>506</v>
      </c>
      <c r="D243" s="126" t="s">
        <v>507</v>
      </c>
      <c r="E243" s="127" t="s">
        <v>23</v>
      </c>
      <c r="F243" s="128" t="s">
        <v>501</v>
      </c>
      <c r="G243" s="129">
        <v>4</v>
      </c>
      <c r="H243" s="129" t="str">
        <f t="shared" si="13"/>
        <v>XI-8_4</v>
      </c>
      <c r="I243" s="133">
        <v>2</v>
      </c>
      <c r="J243" s="133" t="str">
        <f t="shared" si="14"/>
        <v>0086301041-242</v>
      </c>
      <c r="K243" s="133" t="str">
        <f t="shared" si="15"/>
        <v>0086301041-242</v>
      </c>
      <c r="L243" s="133">
        <v>16</v>
      </c>
      <c r="M243" s="130"/>
      <c r="N243" s="131"/>
      <c r="O243" s="132">
        <v>242</v>
      </c>
    </row>
    <row r="244" spans="1:15" ht="15.5" x14ac:dyDescent="0.35">
      <c r="A244" s="1" t="str">
        <f t="shared" si="12"/>
        <v>16-3</v>
      </c>
      <c r="B244" s="26">
        <v>243</v>
      </c>
      <c r="C244" s="125" t="s">
        <v>508</v>
      </c>
      <c r="D244" s="126" t="s">
        <v>509</v>
      </c>
      <c r="E244" s="127" t="s">
        <v>23</v>
      </c>
      <c r="F244" s="128" t="s">
        <v>501</v>
      </c>
      <c r="G244" s="129">
        <v>5</v>
      </c>
      <c r="H244" s="129" t="str">
        <f t="shared" si="13"/>
        <v>XI-8_5</v>
      </c>
      <c r="I244" s="133">
        <v>3</v>
      </c>
      <c r="J244" s="133" t="str">
        <f t="shared" si="14"/>
        <v>0093610340-243</v>
      </c>
      <c r="K244" s="133" t="str">
        <f t="shared" si="15"/>
        <v>0093610340-243</v>
      </c>
      <c r="L244" s="133">
        <v>16</v>
      </c>
      <c r="M244" s="130"/>
      <c r="N244" s="131"/>
      <c r="O244" s="132">
        <v>243</v>
      </c>
    </row>
    <row r="245" spans="1:15" ht="15.5" x14ac:dyDescent="0.35">
      <c r="A245" s="1" t="str">
        <f t="shared" si="12"/>
        <v>16-4</v>
      </c>
      <c r="B245" s="26">
        <v>244</v>
      </c>
      <c r="C245" s="134" t="s">
        <v>510</v>
      </c>
      <c r="D245" s="135" t="s">
        <v>511</v>
      </c>
      <c r="E245" s="136" t="s">
        <v>13</v>
      </c>
      <c r="F245" s="128" t="s">
        <v>501</v>
      </c>
      <c r="G245" s="129">
        <v>6</v>
      </c>
      <c r="H245" s="129" t="str">
        <f t="shared" si="13"/>
        <v>XI-8_6</v>
      </c>
      <c r="I245" s="133">
        <v>4</v>
      </c>
      <c r="J245" s="133" t="str">
        <f t="shared" si="14"/>
        <v>0099711317-244</v>
      </c>
      <c r="K245" s="133" t="str">
        <f t="shared" si="15"/>
        <v>0099711317-244</v>
      </c>
      <c r="L245" s="133">
        <v>16</v>
      </c>
      <c r="M245" s="130"/>
      <c r="N245" s="131"/>
      <c r="O245" s="132">
        <v>244</v>
      </c>
    </row>
    <row r="246" spans="1:15" ht="15.5" x14ac:dyDescent="0.35">
      <c r="A246" s="1" t="str">
        <f t="shared" si="12"/>
        <v>16-5</v>
      </c>
      <c r="B246" s="26">
        <v>245</v>
      </c>
      <c r="C246" s="134" t="s">
        <v>512</v>
      </c>
      <c r="D246" s="135" t="s">
        <v>513</v>
      </c>
      <c r="E246" s="136" t="s">
        <v>13</v>
      </c>
      <c r="F246" s="128" t="s">
        <v>501</v>
      </c>
      <c r="G246" s="129">
        <v>7</v>
      </c>
      <c r="H246" s="129" t="str">
        <f t="shared" si="13"/>
        <v>XI-8_7</v>
      </c>
      <c r="I246" s="133">
        <v>5</v>
      </c>
      <c r="J246" s="133" t="str">
        <f t="shared" si="14"/>
        <v>0099768311-245</v>
      </c>
      <c r="K246" s="133" t="str">
        <f t="shared" si="15"/>
        <v>0099768311-245</v>
      </c>
      <c r="L246" s="133">
        <v>16</v>
      </c>
      <c r="M246" s="130"/>
      <c r="N246" s="131"/>
      <c r="O246" s="132">
        <v>245</v>
      </c>
    </row>
    <row r="247" spans="1:15" ht="15.5" x14ac:dyDescent="0.35">
      <c r="A247" s="1" t="str">
        <f t="shared" si="12"/>
        <v>16-6</v>
      </c>
      <c r="B247" s="26">
        <v>246</v>
      </c>
      <c r="C247" s="134" t="s">
        <v>514</v>
      </c>
      <c r="D247" s="135" t="s">
        <v>515</v>
      </c>
      <c r="E247" s="136" t="s">
        <v>13</v>
      </c>
      <c r="F247" s="128" t="s">
        <v>501</v>
      </c>
      <c r="G247" s="129">
        <v>8</v>
      </c>
      <c r="H247" s="129" t="str">
        <f t="shared" si="13"/>
        <v>XI-8_8</v>
      </c>
      <c r="I247" s="133">
        <v>6</v>
      </c>
      <c r="J247" s="133" t="str">
        <f t="shared" si="14"/>
        <v>0082351959-246</v>
      </c>
      <c r="K247" s="133" t="str">
        <f t="shared" si="15"/>
        <v>0082351959-246</v>
      </c>
      <c r="L247" s="133">
        <v>16</v>
      </c>
      <c r="M247" s="130"/>
      <c r="N247" s="131"/>
      <c r="O247" s="132">
        <v>246</v>
      </c>
    </row>
    <row r="248" spans="1:15" ht="15.5" x14ac:dyDescent="0.35">
      <c r="A248" s="1" t="str">
        <f t="shared" si="12"/>
        <v>16-7</v>
      </c>
      <c r="B248" s="26">
        <v>247</v>
      </c>
      <c r="C248" s="137" t="s">
        <v>516</v>
      </c>
      <c r="D248" s="138" t="s">
        <v>517</v>
      </c>
      <c r="E248" s="139" t="s">
        <v>23</v>
      </c>
      <c r="F248" s="128" t="s">
        <v>501</v>
      </c>
      <c r="G248" s="129">
        <v>9</v>
      </c>
      <c r="H248" s="129" t="str">
        <f t="shared" si="13"/>
        <v>XI-8_9</v>
      </c>
      <c r="I248" s="133">
        <v>7</v>
      </c>
      <c r="J248" s="133" t="str">
        <f t="shared" si="14"/>
        <v>0071951205-247</v>
      </c>
      <c r="K248" s="133" t="str">
        <f t="shared" si="15"/>
        <v>0071951205-247</v>
      </c>
      <c r="L248" s="133">
        <v>16</v>
      </c>
      <c r="M248" s="130"/>
      <c r="N248" s="131"/>
      <c r="O248" s="132">
        <v>247</v>
      </c>
    </row>
    <row r="249" spans="1:15" ht="15.5" x14ac:dyDescent="0.35">
      <c r="A249" s="1" t="str">
        <f t="shared" si="12"/>
        <v>16-8</v>
      </c>
      <c r="B249" s="26">
        <v>248</v>
      </c>
      <c r="C249" s="137" t="s">
        <v>518</v>
      </c>
      <c r="D249" s="140" t="s">
        <v>519</v>
      </c>
      <c r="E249" s="136" t="s">
        <v>13</v>
      </c>
      <c r="F249" s="128" t="s">
        <v>501</v>
      </c>
      <c r="G249" s="129">
        <v>10</v>
      </c>
      <c r="H249" s="129" t="str">
        <f t="shared" si="13"/>
        <v>XI-8_10</v>
      </c>
      <c r="I249" s="133">
        <v>8</v>
      </c>
      <c r="J249" s="133" t="str">
        <f t="shared" si="14"/>
        <v>0083996236-248</v>
      </c>
      <c r="K249" s="133" t="str">
        <f t="shared" si="15"/>
        <v>0083996236-248</v>
      </c>
      <c r="L249" s="133">
        <v>16</v>
      </c>
      <c r="M249" s="130"/>
      <c r="N249" s="131"/>
      <c r="O249" s="132">
        <v>248</v>
      </c>
    </row>
    <row r="250" spans="1:15" ht="15.5" x14ac:dyDescent="0.35">
      <c r="A250" s="1" t="str">
        <f t="shared" si="12"/>
        <v>16-9</v>
      </c>
      <c r="B250" s="26">
        <v>249</v>
      </c>
      <c r="C250" s="134" t="s">
        <v>520</v>
      </c>
      <c r="D250" s="135" t="s">
        <v>521</v>
      </c>
      <c r="E250" s="136" t="s">
        <v>23</v>
      </c>
      <c r="F250" s="128" t="s">
        <v>501</v>
      </c>
      <c r="G250" s="129">
        <v>11</v>
      </c>
      <c r="H250" s="129" t="str">
        <f t="shared" si="13"/>
        <v>XI-8_11</v>
      </c>
      <c r="I250" s="133">
        <v>9</v>
      </c>
      <c r="J250" s="133" t="str">
        <f t="shared" si="14"/>
        <v>0091609325-249</v>
      </c>
      <c r="K250" s="133" t="str">
        <f t="shared" si="15"/>
        <v>0091609325-249</v>
      </c>
      <c r="L250" s="133">
        <v>16</v>
      </c>
      <c r="M250" s="130"/>
      <c r="N250" s="131"/>
      <c r="O250" s="132">
        <v>249</v>
      </c>
    </row>
    <row r="251" spans="1:15" ht="15.5" x14ac:dyDescent="0.35">
      <c r="A251" s="1" t="str">
        <f t="shared" si="12"/>
        <v>16-10</v>
      </c>
      <c r="B251" s="26">
        <v>250</v>
      </c>
      <c r="C251" s="134" t="s">
        <v>522</v>
      </c>
      <c r="D251" s="135" t="s">
        <v>523</v>
      </c>
      <c r="E251" s="136" t="s">
        <v>23</v>
      </c>
      <c r="F251" s="128" t="s">
        <v>501</v>
      </c>
      <c r="G251" s="129">
        <v>12</v>
      </c>
      <c r="H251" s="129" t="str">
        <f t="shared" si="13"/>
        <v>XI-8_12</v>
      </c>
      <c r="I251" s="133">
        <v>10</v>
      </c>
      <c r="J251" s="133" t="str">
        <f t="shared" si="14"/>
        <v>0072750721-250</v>
      </c>
      <c r="K251" s="133" t="str">
        <f t="shared" si="15"/>
        <v>0072750721-250</v>
      </c>
      <c r="L251" s="133">
        <v>16</v>
      </c>
      <c r="M251" s="130"/>
      <c r="N251" s="131"/>
      <c r="O251" s="132">
        <v>250</v>
      </c>
    </row>
    <row r="252" spans="1:15" ht="15.5" x14ac:dyDescent="0.35">
      <c r="A252" s="1" t="str">
        <f t="shared" si="12"/>
        <v>16-11</v>
      </c>
      <c r="B252" s="26">
        <v>251</v>
      </c>
      <c r="C252" s="134" t="s">
        <v>524</v>
      </c>
      <c r="D252" s="135" t="s">
        <v>525</v>
      </c>
      <c r="E252" s="136" t="s">
        <v>23</v>
      </c>
      <c r="F252" s="128" t="s">
        <v>501</v>
      </c>
      <c r="G252" s="129">
        <v>13</v>
      </c>
      <c r="H252" s="129" t="str">
        <f t="shared" si="13"/>
        <v>XI-8_13</v>
      </c>
      <c r="I252" s="133">
        <v>11</v>
      </c>
      <c r="J252" s="133" t="str">
        <f t="shared" si="14"/>
        <v>0086904844-251</v>
      </c>
      <c r="K252" s="133" t="str">
        <f t="shared" si="15"/>
        <v>0086904844-251</v>
      </c>
      <c r="L252" s="133">
        <v>16</v>
      </c>
      <c r="M252" s="130"/>
      <c r="N252" s="131"/>
      <c r="O252" s="132">
        <v>251</v>
      </c>
    </row>
    <row r="253" spans="1:15" ht="15.5" x14ac:dyDescent="0.35">
      <c r="A253" s="1" t="str">
        <f t="shared" si="12"/>
        <v>16-12</v>
      </c>
      <c r="B253" s="26">
        <v>252</v>
      </c>
      <c r="C253" s="134" t="s">
        <v>526</v>
      </c>
      <c r="D253" s="135" t="s">
        <v>527</v>
      </c>
      <c r="E253" s="136" t="s">
        <v>23</v>
      </c>
      <c r="F253" s="128" t="s">
        <v>501</v>
      </c>
      <c r="G253" s="129">
        <v>14</v>
      </c>
      <c r="H253" s="129" t="str">
        <f t="shared" si="13"/>
        <v>XI-8_14</v>
      </c>
      <c r="I253" s="133">
        <v>12</v>
      </c>
      <c r="J253" s="133" t="str">
        <f t="shared" si="14"/>
        <v>0094743434-252</v>
      </c>
      <c r="K253" s="133" t="str">
        <f t="shared" si="15"/>
        <v>0094743434-252</v>
      </c>
      <c r="L253" s="133">
        <v>16</v>
      </c>
      <c r="M253" s="130"/>
      <c r="N253" s="131"/>
      <c r="O253" s="132">
        <v>252</v>
      </c>
    </row>
    <row r="254" spans="1:15" ht="15.5" x14ac:dyDescent="0.35">
      <c r="A254" s="1" t="str">
        <f t="shared" si="12"/>
        <v>16-13</v>
      </c>
      <c r="B254" s="26">
        <v>253</v>
      </c>
      <c r="C254" s="134" t="s">
        <v>528</v>
      </c>
      <c r="D254" s="135" t="s">
        <v>529</v>
      </c>
      <c r="E254" s="136" t="s">
        <v>23</v>
      </c>
      <c r="F254" s="128" t="s">
        <v>501</v>
      </c>
      <c r="G254" s="129">
        <v>15</v>
      </c>
      <c r="H254" s="129" t="str">
        <f t="shared" si="13"/>
        <v>XI-8_15</v>
      </c>
      <c r="I254" s="133">
        <v>13</v>
      </c>
      <c r="J254" s="133" t="str">
        <f t="shared" si="14"/>
        <v>0096677563-253</v>
      </c>
      <c r="K254" s="133" t="str">
        <f t="shared" si="15"/>
        <v>0096677563-253</v>
      </c>
      <c r="L254" s="133">
        <v>16</v>
      </c>
      <c r="M254" s="130"/>
      <c r="N254" s="131"/>
      <c r="O254" s="132">
        <v>253</v>
      </c>
    </row>
    <row r="255" spans="1:15" ht="15.5" x14ac:dyDescent="0.35">
      <c r="A255" s="1" t="str">
        <f t="shared" si="12"/>
        <v>16-14</v>
      </c>
      <c r="B255" s="26">
        <v>254</v>
      </c>
      <c r="C255" s="134" t="s">
        <v>530</v>
      </c>
      <c r="D255" s="135" t="s">
        <v>531</v>
      </c>
      <c r="E255" s="136" t="s">
        <v>23</v>
      </c>
      <c r="F255" s="141" t="s">
        <v>501</v>
      </c>
      <c r="G255" s="129">
        <v>16</v>
      </c>
      <c r="H255" s="129" t="str">
        <f t="shared" si="13"/>
        <v>XI-8_16</v>
      </c>
      <c r="I255" s="133">
        <v>14</v>
      </c>
      <c r="J255" s="133" t="str">
        <f t="shared" si="14"/>
        <v>0086136786-254</v>
      </c>
      <c r="K255" s="133" t="str">
        <f t="shared" si="15"/>
        <v>0086136786-254</v>
      </c>
      <c r="L255" s="133">
        <v>16</v>
      </c>
      <c r="M255" s="130"/>
      <c r="N255" s="131"/>
      <c r="O255" s="132">
        <v>254</v>
      </c>
    </row>
    <row r="256" spans="1:15" ht="15.5" x14ac:dyDescent="0.35">
      <c r="A256" s="1" t="str">
        <f t="shared" si="12"/>
        <v>16-15</v>
      </c>
      <c r="B256" s="26">
        <v>255</v>
      </c>
      <c r="C256" s="134" t="s">
        <v>532</v>
      </c>
      <c r="D256" s="135" t="s">
        <v>533</v>
      </c>
      <c r="E256" s="136" t="s">
        <v>23</v>
      </c>
      <c r="F256" s="128" t="s">
        <v>501</v>
      </c>
      <c r="G256" s="129">
        <v>17</v>
      </c>
      <c r="H256" s="129" t="str">
        <f t="shared" si="13"/>
        <v>XI-8_17</v>
      </c>
      <c r="I256" s="133">
        <v>15</v>
      </c>
      <c r="J256" s="133" t="str">
        <f t="shared" si="14"/>
        <v>3092770692-255</v>
      </c>
      <c r="K256" s="133" t="str">
        <f t="shared" si="15"/>
        <v>3092770692-255</v>
      </c>
      <c r="L256" s="133">
        <v>16</v>
      </c>
      <c r="M256" s="130"/>
      <c r="N256" s="131"/>
      <c r="O256" s="132">
        <v>255</v>
      </c>
    </row>
    <row r="257" spans="1:15" ht="15.5" x14ac:dyDescent="0.35">
      <c r="A257" s="1" t="str">
        <f t="shared" si="12"/>
        <v>16-16</v>
      </c>
      <c r="B257" s="26">
        <v>256</v>
      </c>
      <c r="C257" s="134" t="s">
        <v>534</v>
      </c>
      <c r="D257" s="135" t="s">
        <v>535</v>
      </c>
      <c r="E257" s="136" t="s">
        <v>23</v>
      </c>
      <c r="F257" s="128" t="s">
        <v>501</v>
      </c>
      <c r="G257" s="129">
        <v>18</v>
      </c>
      <c r="H257" s="129" t="str">
        <f t="shared" si="13"/>
        <v>XI-8_18</v>
      </c>
      <c r="I257" s="133">
        <v>16</v>
      </c>
      <c r="J257" s="133" t="str">
        <f t="shared" si="14"/>
        <v>0083261400-256</v>
      </c>
      <c r="K257" s="133" t="str">
        <f t="shared" si="15"/>
        <v>0083261400-256</v>
      </c>
      <c r="L257" s="133">
        <v>16</v>
      </c>
      <c r="M257" s="130"/>
      <c r="N257" s="131"/>
      <c r="O257" s="132">
        <v>256</v>
      </c>
    </row>
    <row r="258" spans="1:15" ht="15.5" x14ac:dyDescent="0.35">
      <c r="A258" s="1" t="str">
        <f t="shared" ref="A258:A321" si="16">L258&amp;"-"&amp;I258</f>
        <v>17-1</v>
      </c>
      <c r="B258" s="26">
        <v>257</v>
      </c>
      <c r="C258" s="134" t="s">
        <v>536</v>
      </c>
      <c r="D258" s="135" t="s">
        <v>537</v>
      </c>
      <c r="E258" s="136" t="s">
        <v>13</v>
      </c>
      <c r="F258" s="128" t="s">
        <v>501</v>
      </c>
      <c r="G258" s="129">
        <v>19</v>
      </c>
      <c r="H258" s="129" t="str">
        <f t="shared" ref="H258:H321" si="17">F258&amp;"_"&amp;G258</f>
        <v>XI-8_19</v>
      </c>
      <c r="I258" s="49">
        <v>1</v>
      </c>
      <c r="J258" s="49" t="str">
        <f t="shared" ref="J258:J321" si="18">C258&amp;"-"&amp;B258</f>
        <v>0071485937-257</v>
      </c>
      <c r="K258" s="49" t="str">
        <f t="shared" ref="K258:K321" si="19">C258&amp;"-"&amp;B258</f>
        <v>0071485937-257</v>
      </c>
      <c r="L258" s="49">
        <v>17</v>
      </c>
      <c r="M258" s="130"/>
      <c r="N258" s="131"/>
      <c r="O258" s="132">
        <v>257</v>
      </c>
    </row>
    <row r="259" spans="1:15" ht="15.5" x14ac:dyDescent="0.35">
      <c r="A259" s="1" t="str">
        <f t="shared" si="16"/>
        <v>17-2</v>
      </c>
      <c r="B259" s="26">
        <v>258</v>
      </c>
      <c r="C259" s="134" t="s">
        <v>538</v>
      </c>
      <c r="D259" s="135" t="s">
        <v>539</v>
      </c>
      <c r="E259" s="136" t="s">
        <v>23</v>
      </c>
      <c r="F259" s="128" t="s">
        <v>501</v>
      </c>
      <c r="G259" s="129">
        <v>20</v>
      </c>
      <c r="H259" s="129" t="str">
        <f t="shared" si="17"/>
        <v>XI-8_20</v>
      </c>
      <c r="I259" s="49">
        <v>2</v>
      </c>
      <c r="J259" s="49" t="str">
        <f t="shared" si="18"/>
        <v>0097515868-258</v>
      </c>
      <c r="K259" s="49" t="str">
        <f t="shared" si="19"/>
        <v>0097515868-258</v>
      </c>
      <c r="L259" s="49">
        <v>17</v>
      </c>
      <c r="M259" s="130"/>
      <c r="N259" s="131"/>
      <c r="O259" s="132">
        <v>258</v>
      </c>
    </row>
    <row r="260" spans="1:15" ht="15.5" x14ac:dyDescent="0.35">
      <c r="A260" s="1" t="str">
        <f t="shared" si="16"/>
        <v>17-3</v>
      </c>
      <c r="B260" s="26">
        <v>259</v>
      </c>
      <c r="C260" s="134" t="s">
        <v>540</v>
      </c>
      <c r="D260" s="135" t="s">
        <v>541</v>
      </c>
      <c r="E260" s="136" t="s">
        <v>23</v>
      </c>
      <c r="F260" s="128" t="s">
        <v>501</v>
      </c>
      <c r="G260" s="129">
        <v>21</v>
      </c>
      <c r="H260" s="129" t="str">
        <f t="shared" si="17"/>
        <v>XI-8_21</v>
      </c>
      <c r="I260" s="49">
        <v>3</v>
      </c>
      <c r="J260" s="49" t="str">
        <f t="shared" si="18"/>
        <v>0096113878-259</v>
      </c>
      <c r="K260" s="49" t="str">
        <f t="shared" si="19"/>
        <v>0096113878-259</v>
      </c>
      <c r="L260" s="49">
        <v>17</v>
      </c>
      <c r="M260" s="130"/>
      <c r="N260" s="131"/>
      <c r="O260" s="132">
        <v>259</v>
      </c>
    </row>
    <row r="261" spans="1:15" ht="15.5" x14ac:dyDescent="0.35">
      <c r="A261" s="1" t="str">
        <f t="shared" si="16"/>
        <v>17-4</v>
      </c>
      <c r="B261" s="26">
        <v>260</v>
      </c>
      <c r="C261" s="134" t="s">
        <v>542</v>
      </c>
      <c r="D261" s="135" t="s">
        <v>543</v>
      </c>
      <c r="E261" s="136" t="s">
        <v>23</v>
      </c>
      <c r="F261" s="128" t="s">
        <v>501</v>
      </c>
      <c r="G261" s="129">
        <v>22</v>
      </c>
      <c r="H261" s="129" t="str">
        <f t="shared" si="17"/>
        <v>XI-8_22</v>
      </c>
      <c r="I261" s="49">
        <v>4</v>
      </c>
      <c r="J261" s="49" t="str">
        <f t="shared" si="18"/>
        <v>0098228445-260</v>
      </c>
      <c r="K261" s="49" t="str">
        <f t="shared" si="19"/>
        <v>0098228445-260</v>
      </c>
      <c r="L261" s="49">
        <v>17</v>
      </c>
      <c r="M261" s="130"/>
      <c r="N261" s="131"/>
      <c r="O261" s="132">
        <v>260</v>
      </c>
    </row>
    <row r="262" spans="1:15" ht="15.5" x14ac:dyDescent="0.35">
      <c r="A262" s="1" t="str">
        <f t="shared" si="16"/>
        <v>17-5</v>
      </c>
      <c r="B262" s="26">
        <v>261</v>
      </c>
      <c r="C262" s="134" t="s">
        <v>544</v>
      </c>
      <c r="D262" s="135" t="s">
        <v>545</v>
      </c>
      <c r="E262" s="136" t="s">
        <v>23</v>
      </c>
      <c r="F262" s="128" t="s">
        <v>501</v>
      </c>
      <c r="G262" s="129">
        <v>23</v>
      </c>
      <c r="H262" s="129" t="str">
        <f t="shared" si="17"/>
        <v>XI-8_23</v>
      </c>
      <c r="I262" s="49">
        <v>5</v>
      </c>
      <c r="J262" s="49" t="str">
        <f t="shared" si="18"/>
        <v>0089290449-261</v>
      </c>
      <c r="K262" s="49" t="str">
        <f t="shared" si="19"/>
        <v>0089290449-261</v>
      </c>
      <c r="L262" s="49">
        <v>17</v>
      </c>
      <c r="M262" s="130"/>
      <c r="N262" s="131"/>
      <c r="O262" s="132">
        <v>261</v>
      </c>
    </row>
    <row r="263" spans="1:15" ht="15.5" x14ac:dyDescent="0.35">
      <c r="A263" s="1" t="str">
        <f t="shared" si="16"/>
        <v>17-6</v>
      </c>
      <c r="B263" s="26">
        <v>262</v>
      </c>
      <c r="C263" s="134" t="s">
        <v>546</v>
      </c>
      <c r="D263" s="135" t="s">
        <v>547</v>
      </c>
      <c r="E263" s="136" t="s">
        <v>23</v>
      </c>
      <c r="F263" s="128" t="s">
        <v>501</v>
      </c>
      <c r="G263" s="129">
        <v>24</v>
      </c>
      <c r="H263" s="129" t="str">
        <f t="shared" si="17"/>
        <v>XI-8_24</v>
      </c>
      <c r="I263" s="49">
        <v>6</v>
      </c>
      <c r="J263" s="49" t="str">
        <f t="shared" si="18"/>
        <v>0098809768-262</v>
      </c>
      <c r="K263" s="49" t="str">
        <f t="shared" si="19"/>
        <v>0098809768-262</v>
      </c>
      <c r="L263" s="49">
        <v>17</v>
      </c>
      <c r="M263" s="130"/>
      <c r="N263" s="131"/>
      <c r="O263" s="132">
        <v>262</v>
      </c>
    </row>
    <row r="264" spans="1:15" ht="15.5" x14ac:dyDescent="0.35">
      <c r="A264" s="1" t="str">
        <f t="shared" si="16"/>
        <v>17-7</v>
      </c>
      <c r="B264" s="26">
        <v>263</v>
      </c>
      <c r="C264" s="134" t="s">
        <v>548</v>
      </c>
      <c r="D264" s="135" t="s">
        <v>549</v>
      </c>
      <c r="E264" s="136" t="s">
        <v>23</v>
      </c>
      <c r="F264" s="128" t="s">
        <v>501</v>
      </c>
      <c r="G264" s="129">
        <v>25</v>
      </c>
      <c r="H264" s="129" t="str">
        <f t="shared" si="17"/>
        <v>XI-8_25</v>
      </c>
      <c r="I264" s="49">
        <v>7</v>
      </c>
      <c r="J264" s="49" t="str">
        <f t="shared" si="18"/>
        <v>0099528168-263</v>
      </c>
      <c r="K264" s="49" t="str">
        <f t="shared" si="19"/>
        <v>0099528168-263</v>
      </c>
      <c r="L264" s="49">
        <v>17</v>
      </c>
      <c r="M264" s="130"/>
      <c r="N264" s="131"/>
      <c r="O264" s="132">
        <v>263</v>
      </c>
    </row>
    <row r="265" spans="1:15" ht="15.5" x14ac:dyDescent="0.35">
      <c r="A265" s="1" t="str">
        <f t="shared" si="16"/>
        <v>17-8</v>
      </c>
      <c r="B265" s="26">
        <v>264</v>
      </c>
      <c r="C265" s="134" t="s">
        <v>550</v>
      </c>
      <c r="D265" s="135" t="s">
        <v>551</v>
      </c>
      <c r="E265" s="136" t="s">
        <v>13</v>
      </c>
      <c r="F265" s="128" t="s">
        <v>501</v>
      </c>
      <c r="G265" s="129">
        <v>26</v>
      </c>
      <c r="H265" s="129" t="str">
        <f t="shared" si="17"/>
        <v>XI-8_26</v>
      </c>
      <c r="I265" s="49">
        <v>8</v>
      </c>
      <c r="J265" s="49" t="str">
        <f t="shared" si="18"/>
        <v>0081389496-264</v>
      </c>
      <c r="K265" s="49" t="str">
        <f t="shared" si="19"/>
        <v>0081389496-264</v>
      </c>
      <c r="L265" s="49">
        <v>17</v>
      </c>
      <c r="M265" s="130"/>
      <c r="N265" s="131"/>
      <c r="O265" s="132">
        <v>264</v>
      </c>
    </row>
    <row r="266" spans="1:15" ht="15.5" x14ac:dyDescent="0.35">
      <c r="A266" s="1" t="str">
        <f t="shared" si="16"/>
        <v>17-9</v>
      </c>
      <c r="B266" s="26">
        <v>265</v>
      </c>
      <c r="C266" s="134" t="s">
        <v>552</v>
      </c>
      <c r="D266" s="135" t="s">
        <v>553</v>
      </c>
      <c r="E266" s="136" t="s">
        <v>23</v>
      </c>
      <c r="F266" s="128" t="s">
        <v>501</v>
      </c>
      <c r="G266" s="129">
        <v>27</v>
      </c>
      <c r="H266" s="129" t="str">
        <f t="shared" si="17"/>
        <v>XI-8_27</v>
      </c>
      <c r="I266" s="49">
        <v>9</v>
      </c>
      <c r="J266" s="49" t="str">
        <f t="shared" si="18"/>
        <v>0086494468-265</v>
      </c>
      <c r="K266" s="49" t="str">
        <f t="shared" si="19"/>
        <v>0086494468-265</v>
      </c>
      <c r="L266" s="49">
        <v>17</v>
      </c>
      <c r="M266" s="130"/>
      <c r="N266" s="131"/>
      <c r="O266" s="132">
        <v>265</v>
      </c>
    </row>
    <row r="267" spans="1:15" ht="15.5" x14ac:dyDescent="0.35">
      <c r="A267" s="1" t="str">
        <f t="shared" si="16"/>
        <v>17-10</v>
      </c>
      <c r="B267" s="26">
        <v>266</v>
      </c>
      <c r="C267" s="134" t="s">
        <v>554</v>
      </c>
      <c r="D267" s="135" t="s">
        <v>555</v>
      </c>
      <c r="E267" s="136" t="s">
        <v>23</v>
      </c>
      <c r="F267" s="128" t="s">
        <v>501</v>
      </c>
      <c r="G267" s="129">
        <v>28</v>
      </c>
      <c r="H267" s="129" t="str">
        <f t="shared" si="17"/>
        <v>XI-8_28</v>
      </c>
      <c r="I267" s="49">
        <v>10</v>
      </c>
      <c r="J267" s="49" t="str">
        <f t="shared" si="18"/>
        <v>0092617331-266</v>
      </c>
      <c r="K267" s="49" t="str">
        <f t="shared" si="19"/>
        <v>0092617331-266</v>
      </c>
      <c r="L267" s="49">
        <v>17</v>
      </c>
      <c r="M267" s="130"/>
      <c r="N267" s="131"/>
      <c r="O267" s="132">
        <v>266</v>
      </c>
    </row>
    <row r="268" spans="1:15" ht="15.5" x14ac:dyDescent="0.35">
      <c r="A268" s="1" t="str">
        <f t="shared" si="16"/>
        <v>17-11</v>
      </c>
      <c r="B268" s="26">
        <v>267</v>
      </c>
      <c r="C268" s="134" t="s">
        <v>556</v>
      </c>
      <c r="D268" s="135" t="s">
        <v>557</v>
      </c>
      <c r="E268" s="136" t="s">
        <v>23</v>
      </c>
      <c r="F268" s="128" t="s">
        <v>501</v>
      </c>
      <c r="G268" s="129">
        <v>29</v>
      </c>
      <c r="H268" s="129" t="str">
        <f t="shared" si="17"/>
        <v>XI-8_29</v>
      </c>
      <c r="I268" s="49">
        <v>11</v>
      </c>
      <c r="J268" s="49" t="str">
        <f t="shared" si="18"/>
        <v>0089041935-267</v>
      </c>
      <c r="K268" s="49" t="str">
        <f t="shared" si="19"/>
        <v>0089041935-267</v>
      </c>
      <c r="L268" s="49">
        <v>17</v>
      </c>
      <c r="M268" s="130"/>
      <c r="N268" s="131"/>
      <c r="O268" s="132">
        <v>267</v>
      </c>
    </row>
    <row r="269" spans="1:15" ht="15.5" x14ac:dyDescent="0.35">
      <c r="A269" s="1" t="str">
        <f t="shared" si="16"/>
        <v>17-12</v>
      </c>
      <c r="B269" s="26">
        <v>268</v>
      </c>
      <c r="C269" s="134" t="s">
        <v>558</v>
      </c>
      <c r="D269" s="135" t="s">
        <v>559</v>
      </c>
      <c r="E269" s="136" t="s">
        <v>13</v>
      </c>
      <c r="F269" s="128" t="s">
        <v>501</v>
      </c>
      <c r="G269" s="129">
        <v>30</v>
      </c>
      <c r="H269" s="129" t="str">
        <f t="shared" si="17"/>
        <v>XI-8_30</v>
      </c>
      <c r="I269" s="49">
        <v>12</v>
      </c>
      <c r="J269" s="49" t="str">
        <f t="shared" si="18"/>
        <v>0083242821-268</v>
      </c>
      <c r="K269" s="49" t="str">
        <f t="shared" si="19"/>
        <v>0083242821-268</v>
      </c>
      <c r="L269" s="49">
        <v>17</v>
      </c>
      <c r="M269" s="130"/>
      <c r="N269" s="131"/>
      <c r="O269" s="132">
        <v>268</v>
      </c>
    </row>
    <row r="270" spans="1:15" ht="15.5" x14ac:dyDescent="0.35">
      <c r="A270" s="1" t="str">
        <f t="shared" si="16"/>
        <v>17-13</v>
      </c>
      <c r="B270" s="26">
        <v>269</v>
      </c>
      <c r="C270" s="90" t="s">
        <v>560</v>
      </c>
      <c r="D270" s="142" t="s">
        <v>561</v>
      </c>
      <c r="E270" s="136" t="s">
        <v>23</v>
      </c>
      <c r="F270" s="128" t="s">
        <v>501</v>
      </c>
      <c r="G270" s="129">
        <v>31</v>
      </c>
      <c r="H270" s="129" t="str">
        <f t="shared" si="17"/>
        <v>XI-8_31</v>
      </c>
      <c r="I270" s="49">
        <v>13</v>
      </c>
      <c r="J270" s="49" t="str">
        <f t="shared" si="18"/>
        <v>0098370775-269</v>
      </c>
      <c r="K270" s="49" t="str">
        <f t="shared" si="19"/>
        <v>0098370775-269</v>
      </c>
      <c r="L270" s="49">
        <v>17</v>
      </c>
      <c r="M270" s="130"/>
      <c r="N270" s="131"/>
      <c r="O270" s="132">
        <v>269</v>
      </c>
    </row>
    <row r="271" spans="1:15" ht="15.5" x14ac:dyDescent="0.35">
      <c r="A271" s="1" t="str">
        <f t="shared" si="16"/>
        <v>17-14</v>
      </c>
      <c r="B271" s="26">
        <v>270</v>
      </c>
      <c r="C271" s="143" t="s">
        <v>562</v>
      </c>
      <c r="D271" s="144" t="s">
        <v>563</v>
      </c>
      <c r="E271" s="145" t="s">
        <v>13</v>
      </c>
      <c r="F271" s="146" t="s">
        <v>564</v>
      </c>
      <c r="G271" s="147">
        <v>1</v>
      </c>
      <c r="H271" s="147" t="str">
        <f t="shared" si="17"/>
        <v>XI-9_1</v>
      </c>
      <c r="I271" s="49">
        <v>14</v>
      </c>
      <c r="J271" s="148" t="str">
        <f t="shared" si="18"/>
        <v>0094629642-270</v>
      </c>
      <c r="K271" s="148" t="str">
        <f t="shared" si="19"/>
        <v>0094629642-270</v>
      </c>
      <c r="L271" s="49">
        <v>17</v>
      </c>
      <c r="M271" s="149"/>
      <c r="N271" s="150"/>
      <c r="O271" s="151">
        <v>270</v>
      </c>
    </row>
    <row r="272" spans="1:15" ht="15.5" x14ac:dyDescent="0.35">
      <c r="A272" s="1" t="str">
        <f t="shared" si="16"/>
        <v>17-15</v>
      </c>
      <c r="B272" s="26">
        <v>271</v>
      </c>
      <c r="C272" s="143" t="s">
        <v>565</v>
      </c>
      <c r="D272" s="144" t="s">
        <v>566</v>
      </c>
      <c r="E272" s="145" t="s">
        <v>23</v>
      </c>
      <c r="F272" s="146" t="s">
        <v>564</v>
      </c>
      <c r="G272" s="147">
        <v>2</v>
      </c>
      <c r="H272" s="147" t="str">
        <f t="shared" si="17"/>
        <v>XI-9_2</v>
      </c>
      <c r="I272" s="49">
        <v>15</v>
      </c>
      <c r="J272" s="148" t="str">
        <f t="shared" si="18"/>
        <v>0093503362-271</v>
      </c>
      <c r="K272" s="148" t="str">
        <f t="shared" si="19"/>
        <v>0093503362-271</v>
      </c>
      <c r="L272" s="49">
        <v>17</v>
      </c>
      <c r="M272" s="149"/>
      <c r="N272" s="150"/>
      <c r="O272" s="152">
        <v>271</v>
      </c>
    </row>
    <row r="273" spans="1:15" ht="15.5" x14ac:dyDescent="0.35">
      <c r="A273" s="1" t="str">
        <f t="shared" si="16"/>
        <v>17-16</v>
      </c>
      <c r="B273" s="26">
        <v>272</v>
      </c>
      <c r="C273" s="143" t="s">
        <v>567</v>
      </c>
      <c r="D273" s="144" t="s">
        <v>568</v>
      </c>
      <c r="E273" s="145" t="s">
        <v>23</v>
      </c>
      <c r="F273" s="146" t="s">
        <v>564</v>
      </c>
      <c r="G273" s="147">
        <v>3</v>
      </c>
      <c r="H273" s="147" t="str">
        <f t="shared" si="17"/>
        <v>XI-9_3</v>
      </c>
      <c r="I273" s="49">
        <v>16</v>
      </c>
      <c r="J273" s="148" t="str">
        <f t="shared" si="18"/>
        <v>0089588906-272</v>
      </c>
      <c r="K273" s="148" t="str">
        <f t="shared" si="19"/>
        <v>0089588906-272</v>
      </c>
      <c r="L273" s="49">
        <v>17</v>
      </c>
      <c r="M273" s="149"/>
      <c r="N273" s="150"/>
      <c r="O273" s="151">
        <v>272</v>
      </c>
    </row>
    <row r="274" spans="1:15" ht="15.5" x14ac:dyDescent="0.35">
      <c r="A274" s="1" t="str">
        <f t="shared" si="16"/>
        <v>18-1</v>
      </c>
      <c r="B274" s="26">
        <v>273</v>
      </c>
      <c r="C274" s="143" t="s">
        <v>569</v>
      </c>
      <c r="D274" s="144" t="s">
        <v>570</v>
      </c>
      <c r="E274" s="145" t="s">
        <v>13</v>
      </c>
      <c r="F274" s="146" t="s">
        <v>564</v>
      </c>
      <c r="G274" s="147">
        <v>4</v>
      </c>
      <c r="H274" s="147" t="str">
        <f t="shared" si="17"/>
        <v>XI-9_4</v>
      </c>
      <c r="I274" s="147">
        <v>1</v>
      </c>
      <c r="J274" s="147" t="str">
        <f t="shared" si="18"/>
        <v>0099321218-273</v>
      </c>
      <c r="K274" s="147" t="str">
        <f t="shared" si="19"/>
        <v>0099321218-273</v>
      </c>
      <c r="L274" s="147">
        <v>18</v>
      </c>
      <c r="M274" s="149"/>
      <c r="N274" s="150"/>
      <c r="O274" s="151">
        <v>273</v>
      </c>
    </row>
    <row r="275" spans="1:15" ht="15.5" x14ac:dyDescent="0.35">
      <c r="A275" s="1" t="str">
        <f t="shared" si="16"/>
        <v>18-2</v>
      </c>
      <c r="B275" s="26">
        <v>274</v>
      </c>
      <c r="C275" s="143" t="s">
        <v>571</v>
      </c>
      <c r="D275" s="144" t="s">
        <v>572</v>
      </c>
      <c r="E275" s="145" t="s">
        <v>23</v>
      </c>
      <c r="F275" s="146" t="s">
        <v>564</v>
      </c>
      <c r="G275" s="147">
        <v>5</v>
      </c>
      <c r="H275" s="147" t="str">
        <f t="shared" si="17"/>
        <v>XI-9_5</v>
      </c>
      <c r="I275" s="147">
        <v>2</v>
      </c>
      <c r="J275" s="147" t="str">
        <f t="shared" si="18"/>
        <v>0092225464-274</v>
      </c>
      <c r="K275" s="147" t="str">
        <f t="shared" si="19"/>
        <v>0092225464-274</v>
      </c>
      <c r="L275" s="147">
        <v>18</v>
      </c>
      <c r="M275" s="149"/>
      <c r="N275" s="150"/>
      <c r="O275" s="152">
        <v>274</v>
      </c>
    </row>
    <row r="276" spans="1:15" ht="15.5" x14ac:dyDescent="0.35">
      <c r="A276" s="1" t="str">
        <f t="shared" si="16"/>
        <v>18-3</v>
      </c>
      <c r="B276" s="26">
        <v>275</v>
      </c>
      <c r="C276" s="153" t="s">
        <v>573</v>
      </c>
      <c r="D276" s="154" t="s">
        <v>574</v>
      </c>
      <c r="E276" s="155" t="s">
        <v>23</v>
      </c>
      <c r="F276" s="146" t="s">
        <v>564</v>
      </c>
      <c r="G276" s="147">
        <v>6</v>
      </c>
      <c r="H276" s="147" t="str">
        <f t="shared" si="17"/>
        <v>XI-9_6</v>
      </c>
      <c r="I276" s="147">
        <v>3</v>
      </c>
      <c r="J276" s="147" t="str">
        <f t="shared" si="18"/>
        <v>3095901510-275</v>
      </c>
      <c r="K276" s="147" t="str">
        <f t="shared" si="19"/>
        <v>3095901510-275</v>
      </c>
      <c r="L276" s="147">
        <v>18</v>
      </c>
      <c r="M276" s="149"/>
      <c r="N276" s="150"/>
      <c r="O276" s="151">
        <v>275</v>
      </c>
    </row>
    <row r="277" spans="1:15" ht="15.5" x14ac:dyDescent="0.35">
      <c r="A277" s="1" t="str">
        <f t="shared" si="16"/>
        <v>18-4</v>
      </c>
      <c r="B277" s="26">
        <v>276</v>
      </c>
      <c r="C277" s="153" t="s">
        <v>575</v>
      </c>
      <c r="D277" s="154" t="s">
        <v>576</v>
      </c>
      <c r="E277" s="155" t="s">
        <v>23</v>
      </c>
      <c r="F277" s="146" t="s">
        <v>564</v>
      </c>
      <c r="G277" s="147">
        <v>7</v>
      </c>
      <c r="H277" s="147" t="str">
        <f t="shared" si="17"/>
        <v>XI-9_7</v>
      </c>
      <c r="I277" s="147">
        <v>4</v>
      </c>
      <c r="J277" s="147" t="str">
        <f t="shared" si="18"/>
        <v>3080498179-276</v>
      </c>
      <c r="K277" s="147" t="str">
        <f t="shared" si="19"/>
        <v>3080498179-276</v>
      </c>
      <c r="L277" s="147">
        <v>18</v>
      </c>
      <c r="M277" s="149"/>
      <c r="N277" s="150"/>
      <c r="O277" s="151">
        <v>276</v>
      </c>
    </row>
    <row r="278" spans="1:15" ht="15.5" x14ac:dyDescent="0.35">
      <c r="A278" s="1" t="str">
        <f t="shared" si="16"/>
        <v>18-5</v>
      </c>
      <c r="B278" s="26">
        <v>277</v>
      </c>
      <c r="C278" s="153" t="s">
        <v>577</v>
      </c>
      <c r="D278" s="154" t="s">
        <v>578</v>
      </c>
      <c r="E278" s="155" t="s">
        <v>23</v>
      </c>
      <c r="F278" s="146" t="s">
        <v>564</v>
      </c>
      <c r="G278" s="147">
        <v>8</v>
      </c>
      <c r="H278" s="147" t="str">
        <f t="shared" si="17"/>
        <v>XI-9_8</v>
      </c>
      <c r="I278" s="147">
        <v>5</v>
      </c>
      <c r="J278" s="147" t="str">
        <f t="shared" si="18"/>
        <v>0087932668-277</v>
      </c>
      <c r="K278" s="147" t="str">
        <f t="shared" si="19"/>
        <v>0087932668-277</v>
      </c>
      <c r="L278" s="147">
        <v>18</v>
      </c>
      <c r="M278" s="149"/>
      <c r="N278" s="150"/>
      <c r="O278" s="152">
        <v>277</v>
      </c>
    </row>
    <row r="279" spans="1:15" ht="15.5" x14ac:dyDescent="0.35">
      <c r="A279" s="1" t="str">
        <f t="shared" si="16"/>
        <v>18-6</v>
      </c>
      <c r="B279" s="26">
        <v>278</v>
      </c>
      <c r="C279" s="156" t="s">
        <v>579</v>
      </c>
      <c r="D279" s="157" t="s">
        <v>580</v>
      </c>
      <c r="E279" s="158" t="s">
        <v>23</v>
      </c>
      <c r="F279" s="146" t="s">
        <v>564</v>
      </c>
      <c r="G279" s="147">
        <v>9</v>
      </c>
      <c r="H279" s="147" t="str">
        <f t="shared" si="17"/>
        <v>XI-9_9</v>
      </c>
      <c r="I279" s="147">
        <v>6</v>
      </c>
      <c r="J279" s="147" t="str">
        <f t="shared" si="18"/>
        <v>0097333498-278</v>
      </c>
      <c r="K279" s="147" t="str">
        <f t="shared" si="19"/>
        <v>0097333498-278</v>
      </c>
      <c r="L279" s="147">
        <v>18</v>
      </c>
      <c r="M279" s="149"/>
      <c r="N279" s="150"/>
      <c r="O279" s="151">
        <v>278</v>
      </c>
    </row>
    <row r="280" spans="1:15" ht="15.5" x14ac:dyDescent="0.35">
      <c r="A280" s="1" t="str">
        <f t="shared" si="16"/>
        <v>18-7</v>
      </c>
      <c r="B280" s="26">
        <v>279</v>
      </c>
      <c r="C280" s="156" t="s">
        <v>581</v>
      </c>
      <c r="D280" s="159" t="s">
        <v>582</v>
      </c>
      <c r="E280" s="155" t="s">
        <v>13</v>
      </c>
      <c r="F280" s="146" t="s">
        <v>564</v>
      </c>
      <c r="G280" s="147">
        <v>10</v>
      </c>
      <c r="H280" s="147" t="str">
        <f t="shared" si="17"/>
        <v>XI-9_10</v>
      </c>
      <c r="I280" s="147">
        <v>7</v>
      </c>
      <c r="J280" s="147" t="str">
        <f t="shared" si="18"/>
        <v>0096650731-279</v>
      </c>
      <c r="K280" s="147" t="str">
        <f t="shared" si="19"/>
        <v>0096650731-279</v>
      </c>
      <c r="L280" s="147">
        <v>18</v>
      </c>
      <c r="M280" s="149"/>
      <c r="N280" s="150"/>
      <c r="O280" s="151">
        <v>279</v>
      </c>
    </row>
    <row r="281" spans="1:15" ht="15.5" x14ac:dyDescent="0.35">
      <c r="A281" s="1" t="str">
        <f t="shared" si="16"/>
        <v>18-8</v>
      </c>
      <c r="B281" s="26">
        <v>280</v>
      </c>
      <c r="C281" s="153" t="s">
        <v>583</v>
      </c>
      <c r="D281" s="154" t="s">
        <v>584</v>
      </c>
      <c r="E281" s="155" t="s">
        <v>13</v>
      </c>
      <c r="F281" s="146" t="s">
        <v>564</v>
      </c>
      <c r="G281" s="147">
        <v>11</v>
      </c>
      <c r="H281" s="147" t="str">
        <f t="shared" si="17"/>
        <v>XI-9_11</v>
      </c>
      <c r="I281" s="147">
        <v>8</v>
      </c>
      <c r="J281" s="147" t="str">
        <f t="shared" si="18"/>
        <v>0098722309-280</v>
      </c>
      <c r="K281" s="147" t="str">
        <f t="shared" si="19"/>
        <v>0098722309-280</v>
      </c>
      <c r="L281" s="147">
        <v>18</v>
      </c>
      <c r="M281" s="149"/>
      <c r="N281" s="150"/>
      <c r="O281" s="152">
        <v>280</v>
      </c>
    </row>
    <row r="282" spans="1:15" ht="15.5" x14ac:dyDescent="0.35">
      <c r="A282" s="1" t="str">
        <f t="shared" si="16"/>
        <v>18-9</v>
      </c>
      <c r="B282" s="26">
        <v>281</v>
      </c>
      <c r="C282" s="153" t="s">
        <v>585</v>
      </c>
      <c r="D282" s="154" t="s">
        <v>586</v>
      </c>
      <c r="E282" s="155" t="s">
        <v>13</v>
      </c>
      <c r="F282" s="146" t="s">
        <v>564</v>
      </c>
      <c r="G282" s="147">
        <v>12</v>
      </c>
      <c r="H282" s="147" t="str">
        <f t="shared" si="17"/>
        <v>XI-9_12</v>
      </c>
      <c r="I282" s="147">
        <v>9</v>
      </c>
      <c r="J282" s="147" t="str">
        <f t="shared" si="18"/>
        <v>3087349677-281</v>
      </c>
      <c r="K282" s="147" t="str">
        <f t="shared" si="19"/>
        <v>3087349677-281</v>
      </c>
      <c r="L282" s="147">
        <v>18</v>
      </c>
      <c r="M282" s="149"/>
      <c r="N282" s="150"/>
      <c r="O282" s="151">
        <v>281</v>
      </c>
    </row>
    <row r="283" spans="1:15" ht="15.5" x14ac:dyDescent="0.35">
      <c r="A283" s="1" t="str">
        <f t="shared" si="16"/>
        <v>18-10</v>
      </c>
      <c r="B283" s="26">
        <v>282</v>
      </c>
      <c r="C283" s="153" t="s">
        <v>587</v>
      </c>
      <c r="D283" s="154" t="s">
        <v>588</v>
      </c>
      <c r="E283" s="155" t="s">
        <v>23</v>
      </c>
      <c r="F283" s="146" t="s">
        <v>564</v>
      </c>
      <c r="G283" s="147">
        <v>13</v>
      </c>
      <c r="H283" s="147" t="str">
        <f t="shared" si="17"/>
        <v>XI-9_13</v>
      </c>
      <c r="I283" s="147">
        <v>10</v>
      </c>
      <c r="J283" s="147" t="str">
        <f t="shared" si="18"/>
        <v>3092915119-282</v>
      </c>
      <c r="K283" s="147" t="str">
        <f t="shared" si="19"/>
        <v>3092915119-282</v>
      </c>
      <c r="L283" s="147">
        <v>18</v>
      </c>
      <c r="M283" s="149"/>
      <c r="N283" s="150"/>
      <c r="O283" s="151">
        <v>282</v>
      </c>
    </row>
    <row r="284" spans="1:15" ht="15.5" x14ac:dyDescent="0.35">
      <c r="A284" s="1" t="str">
        <f t="shared" si="16"/>
        <v>18-11</v>
      </c>
      <c r="B284" s="26">
        <v>283</v>
      </c>
      <c r="C284" s="153" t="s">
        <v>589</v>
      </c>
      <c r="D284" s="154" t="s">
        <v>590</v>
      </c>
      <c r="E284" s="155" t="s">
        <v>13</v>
      </c>
      <c r="F284" s="146" t="s">
        <v>564</v>
      </c>
      <c r="G284" s="147">
        <v>14</v>
      </c>
      <c r="H284" s="147" t="str">
        <f t="shared" si="17"/>
        <v>XI-9_14</v>
      </c>
      <c r="I284" s="147">
        <v>11</v>
      </c>
      <c r="J284" s="147" t="str">
        <f t="shared" si="18"/>
        <v>0093134766-283</v>
      </c>
      <c r="K284" s="147" t="str">
        <f t="shared" si="19"/>
        <v>0093134766-283</v>
      </c>
      <c r="L284" s="147">
        <v>18</v>
      </c>
      <c r="M284" s="149"/>
      <c r="N284" s="150"/>
      <c r="O284" s="152">
        <v>283</v>
      </c>
    </row>
    <row r="285" spans="1:15" ht="15.5" x14ac:dyDescent="0.35">
      <c r="A285" s="1" t="str">
        <f t="shared" si="16"/>
        <v>18-12</v>
      </c>
      <c r="B285" s="26">
        <v>284</v>
      </c>
      <c r="C285" s="153" t="s">
        <v>591</v>
      </c>
      <c r="D285" s="154" t="s">
        <v>592</v>
      </c>
      <c r="E285" s="155" t="s">
        <v>23</v>
      </c>
      <c r="F285" s="146" t="s">
        <v>564</v>
      </c>
      <c r="G285" s="147">
        <v>15</v>
      </c>
      <c r="H285" s="147" t="str">
        <f t="shared" si="17"/>
        <v>XI-9_15</v>
      </c>
      <c r="I285" s="147">
        <v>12</v>
      </c>
      <c r="J285" s="147" t="str">
        <f t="shared" si="18"/>
        <v>0065757996-284</v>
      </c>
      <c r="K285" s="147" t="str">
        <f t="shared" si="19"/>
        <v>0065757996-284</v>
      </c>
      <c r="L285" s="147">
        <v>18</v>
      </c>
      <c r="M285" s="149"/>
      <c r="N285" s="150"/>
      <c r="O285" s="151">
        <v>284</v>
      </c>
    </row>
    <row r="286" spans="1:15" ht="15.5" x14ac:dyDescent="0.35">
      <c r="A286" s="1" t="str">
        <f t="shared" si="16"/>
        <v>18-13</v>
      </c>
      <c r="B286" s="26">
        <v>285</v>
      </c>
      <c r="C286" s="153" t="s">
        <v>593</v>
      </c>
      <c r="D286" s="154" t="s">
        <v>594</v>
      </c>
      <c r="E286" s="155" t="s">
        <v>23</v>
      </c>
      <c r="F286" s="146" t="s">
        <v>564</v>
      </c>
      <c r="G286" s="147">
        <v>16</v>
      </c>
      <c r="H286" s="147" t="str">
        <f t="shared" si="17"/>
        <v>XI-9_16</v>
      </c>
      <c r="I286" s="147">
        <v>13</v>
      </c>
      <c r="J286" s="147" t="str">
        <f t="shared" si="18"/>
        <v>0087904337-285</v>
      </c>
      <c r="K286" s="147" t="str">
        <f t="shared" si="19"/>
        <v>0087904337-285</v>
      </c>
      <c r="L286" s="147">
        <v>18</v>
      </c>
      <c r="M286" s="149"/>
      <c r="N286" s="150"/>
      <c r="O286" s="151">
        <v>285</v>
      </c>
    </row>
    <row r="287" spans="1:15" ht="15.5" x14ac:dyDescent="0.35">
      <c r="A287" s="1" t="str">
        <f t="shared" si="16"/>
        <v>18-14</v>
      </c>
      <c r="B287" s="26">
        <v>286</v>
      </c>
      <c r="C287" s="153" t="s">
        <v>595</v>
      </c>
      <c r="D287" s="154" t="s">
        <v>596</v>
      </c>
      <c r="E287" s="155" t="s">
        <v>23</v>
      </c>
      <c r="F287" s="146" t="s">
        <v>564</v>
      </c>
      <c r="G287" s="147">
        <v>17</v>
      </c>
      <c r="H287" s="147" t="str">
        <f t="shared" si="17"/>
        <v>XI-9_17</v>
      </c>
      <c r="I287" s="147">
        <v>14</v>
      </c>
      <c r="J287" s="147" t="str">
        <f t="shared" si="18"/>
        <v>0092164355-286</v>
      </c>
      <c r="K287" s="147" t="str">
        <f t="shared" si="19"/>
        <v>0092164355-286</v>
      </c>
      <c r="L287" s="147">
        <v>18</v>
      </c>
      <c r="M287" s="149"/>
      <c r="N287" s="150"/>
      <c r="O287" s="152">
        <v>286</v>
      </c>
    </row>
    <row r="288" spans="1:15" ht="15.5" x14ac:dyDescent="0.35">
      <c r="A288" s="1" t="str">
        <f t="shared" si="16"/>
        <v>18-15</v>
      </c>
      <c r="B288" s="26">
        <v>287</v>
      </c>
      <c r="C288" s="153" t="s">
        <v>597</v>
      </c>
      <c r="D288" s="154" t="s">
        <v>598</v>
      </c>
      <c r="E288" s="155" t="s">
        <v>23</v>
      </c>
      <c r="F288" s="146" t="s">
        <v>564</v>
      </c>
      <c r="G288" s="147">
        <v>18</v>
      </c>
      <c r="H288" s="147" t="str">
        <f t="shared" si="17"/>
        <v>XI-9_18</v>
      </c>
      <c r="I288" s="147">
        <v>15</v>
      </c>
      <c r="J288" s="147" t="str">
        <f t="shared" si="18"/>
        <v>0087592396-287</v>
      </c>
      <c r="K288" s="147" t="str">
        <f t="shared" si="19"/>
        <v>0087592396-287</v>
      </c>
      <c r="L288" s="147">
        <v>18</v>
      </c>
      <c r="M288" s="149"/>
      <c r="N288" s="150"/>
      <c r="O288" s="151">
        <v>287</v>
      </c>
    </row>
    <row r="289" spans="1:16" ht="15.5" x14ac:dyDescent="0.35">
      <c r="A289" s="1" t="str">
        <f t="shared" si="16"/>
        <v>18-16</v>
      </c>
      <c r="B289" s="26">
        <v>288</v>
      </c>
      <c r="C289" s="153" t="s">
        <v>599</v>
      </c>
      <c r="D289" s="154" t="s">
        <v>600</v>
      </c>
      <c r="E289" s="155" t="s">
        <v>13</v>
      </c>
      <c r="F289" s="146" t="s">
        <v>564</v>
      </c>
      <c r="G289" s="147">
        <v>19</v>
      </c>
      <c r="H289" s="147" t="str">
        <f t="shared" si="17"/>
        <v>XI-9_19</v>
      </c>
      <c r="I289" s="147">
        <v>16</v>
      </c>
      <c r="J289" s="147" t="str">
        <f t="shared" si="18"/>
        <v>0093618259-288</v>
      </c>
      <c r="K289" s="147" t="str">
        <f t="shared" si="19"/>
        <v>0093618259-288</v>
      </c>
      <c r="L289" s="147">
        <v>18</v>
      </c>
      <c r="M289" s="149"/>
      <c r="N289" s="150"/>
      <c r="O289" s="151">
        <v>288</v>
      </c>
    </row>
    <row r="290" spans="1:16" ht="15.5" x14ac:dyDescent="0.35">
      <c r="A290" s="1" t="str">
        <f t="shared" si="16"/>
        <v>19-1</v>
      </c>
      <c r="B290" s="26">
        <v>289</v>
      </c>
      <c r="C290" s="153" t="s">
        <v>601</v>
      </c>
      <c r="D290" s="154" t="s">
        <v>602</v>
      </c>
      <c r="E290" s="155" t="s">
        <v>13</v>
      </c>
      <c r="F290" s="146" t="s">
        <v>564</v>
      </c>
      <c r="G290" s="147">
        <v>20</v>
      </c>
      <c r="H290" s="147" t="str">
        <f t="shared" si="17"/>
        <v>XI-9_20</v>
      </c>
      <c r="I290" s="32">
        <v>1</v>
      </c>
      <c r="J290" s="32" t="str">
        <f t="shared" si="18"/>
        <v>0094824956-289</v>
      </c>
      <c r="K290" s="32" t="str">
        <f t="shared" si="19"/>
        <v>0094824956-289</v>
      </c>
      <c r="L290" s="32">
        <v>19</v>
      </c>
      <c r="M290" s="149"/>
      <c r="N290" s="150"/>
      <c r="O290" s="152">
        <v>289</v>
      </c>
    </row>
    <row r="291" spans="1:16" ht="15.5" x14ac:dyDescent="0.35">
      <c r="A291" s="1" t="str">
        <f t="shared" si="16"/>
        <v>19-2</v>
      </c>
      <c r="B291" s="26">
        <v>290</v>
      </c>
      <c r="C291" s="153" t="s">
        <v>603</v>
      </c>
      <c r="D291" s="154" t="s">
        <v>604</v>
      </c>
      <c r="E291" s="155" t="s">
        <v>23</v>
      </c>
      <c r="F291" s="146" t="s">
        <v>564</v>
      </c>
      <c r="G291" s="147">
        <v>21</v>
      </c>
      <c r="H291" s="147" t="str">
        <f t="shared" si="17"/>
        <v>XI-9_21</v>
      </c>
      <c r="I291" s="32">
        <v>2</v>
      </c>
      <c r="J291" s="32" t="str">
        <f t="shared" si="18"/>
        <v>0085057139-290</v>
      </c>
      <c r="K291" s="32" t="str">
        <f t="shared" si="19"/>
        <v>0085057139-290</v>
      </c>
      <c r="L291" s="32">
        <v>19</v>
      </c>
      <c r="M291" s="149"/>
      <c r="N291" s="150"/>
      <c r="O291" s="151">
        <v>290</v>
      </c>
    </row>
    <row r="292" spans="1:16" ht="15.5" x14ac:dyDescent="0.35">
      <c r="A292" s="1" t="str">
        <f t="shared" si="16"/>
        <v>19-3</v>
      </c>
      <c r="B292" s="26">
        <v>291</v>
      </c>
      <c r="C292" s="153" t="s">
        <v>605</v>
      </c>
      <c r="D292" s="154" t="s">
        <v>606</v>
      </c>
      <c r="E292" s="155" t="s">
        <v>23</v>
      </c>
      <c r="F292" s="146" t="s">
        <v>564</v>
      </c>
      <c r="G292" s="147">
        <v>22</v>
      </c>
      <c r="H292" s="147" t="str">
        <f t="shared" si="17"/>
        <v>XI-9_22</v>
      </c>
      <c r="I292" s="32">
        <v>3</v>
      </c>
      <c r="J292" s="32" t="str">
        <f t="shared" si="18"/>
        <v>0081575679-291</v>
      </c>
      <c r="K292" s="32" t="str">
        <f t="shared" si="19"/>
        <v>0081575679-291</v>
      </c>
      <c r="L292" s="32">
        <v>19</v>
      </c>
      <c r="M292" s="149"/>
      <c r="N292" s="150"/>
      <c r="O292" s="151">
        <v>291</v>
      </c>
    </row>
    <row r="293" spans="1:16" ht="15.5" x14ac:dyDescent="0.35">
      <c r="A293" s="1" t="str">
        <f t="shared" si="16"/>
        <v>19-4</v>
      </c>
      <c r="B293" s="26">
        <v>292</v>
      </c>
      <c r="C293" s="153" t="s">
        <v>607</v>
      </c>
      <c r="D293" s="154" t="s">
        <v>608</v>
      </c>
      <c r="E293" s="155" t="s">
        <v>13</v>
      </c>
      <c r="F293" s="146" t="s">
        <v>564</v>
      </c>
      <c r="G293" s="147">
        <v>23</v>
      </c>
      <c r="H293" s="147" t="str">
        <f t="shared" si="17"/>
        <v>XI-9_23</v>
      </c>
      <c r="I293" s="32">
        <v>4</v>
      </c>
      <c r="J293" s="32" t="str">
        <f t="shared" si="18"/>
        <v>0092620202-292</v>
      </c>
      <c r="K293" s="32" t="str">
        <f t="shared" si="19"/>
        <v>0092620202-292</v>
      </c>
      <c r="L293" s="32">
        <v>19</v>
      </c>
      <c r="M293" s="149"/>
      <c r="N293" s="150"/>
      <c r="O293" s="152">
        <v>292</v>
      </c>
    </row>
    <row r="294" spans="1:16" ht="15.5" x14ac:dyDescent="0.35">
      <c r="A294" s="1" t="str">
        <f t="shared" si="16"/>
        <v>19-5</v>
      </c>
      <c r="B294" s="26">
        <v>293</v>
      </c>
      <c r="C294" s="153" t="s">
        <v>609</v>
      </c>
      <c r="D294" s="154" t="s">
        <v>610</v>
      </c>
      <c r="E294" s="155" t="s">
        <v>23</v>
      </c>
      <c r="F294" s="146" t="s">
        <v>564</v>
      </c>
      <c r="G294" s="147">
        <v>24</v>
      </c>
      <c r="H294" s="147" t="str">
        <f t="shared" si="17"/>
        <v>XI-9_24</v>
      </c>
      <c r="I294" s="32">
        <v>5</v>
      </c>
      <c r="J294" s="32" t="str">
        <f t="shared" si="18"/>
        <v>0087569527-293</v>
      </c>
      <c r="K294" s="32" t="str">
        <f t="shared" si="19"/>
        <v>0087569527-293</v>
      </c>
      <c r="L294" s="32">
        <v>19</v>
      </c>
      <c r="M294" s="149"/>
      <c r="N294" s="150"/>
      <c r="O294" s="151">
        <v>293</v>
      </c>
    </row>
    <row r="295" spans="1:16" ht="15.5" x14ac:dyDescent="0.35">
      <c r="A295" s="1" t="str">
        <f t="shared" si="16"/>
        <v>19-6</v>
      </c>
      <c r="B295" s="26">
        <v>294</v>
      </c>
      <c r="C295" s="153" t="s">
        <v>611</v>
      </c>
      <c r="D295" s="154" t="s">
        <v>612</v>
      </c>
      <c r="E295" s="155" t="s">
        <v>23</v>
      </c>
      <c r="F295" s="146" t="s">
        <v>564</v>
      </c>
      <c r="G295" s="147">
        <v>25</v>
      </c>
      <c r="H295" s="147" t="str">
        <f t="shared" si="17"/>
        <v>XI-9_25</v>
      </c>
      <c r="I295" s="32">
        <v>6</v>
      </c>
      <c r="J295" s="32" t="str">
        <f t="shared" si="18"/>
        <v>0094990478-294</v>
      </c>
      <c r="K295" s="32" t="str">
        <f t="shared" si="19"/>
        <v>0094990478-294</v>
      </c>
      <c r="L295" s="32">
        <v>19</v>
      </c>
      <c r="M295" s="149"/>
      <c r="N295" s="150"/>
      <c r="O295" s="151">
        <v>294</v>
      </c>
    </row>
    <row r="296" spans="1:16" ht="15.5" x14ac:dyDescent="0.35">
      <c r="A296" s="1" t="str">
        <f t="shared" si="16"/>
        <v>19-7</v>
      </c>
      <c r="B296" s="26">
        <v>295</v>
      </c>
      <c r="C296" s="153" t="s">
        <v>613</v>
      </c>
      <c r="D296" s="154" t="s">
        <v>614</v>
      </c>
      <c r="E296" s="155" t="s">
        <v>23</v>
      </c>
      <c r="F296" s="146" t="s">
        <v>564</v>
      </c>
      <c r="G296" s="147">
        <v>26</v>
      </c>
      <c r="H296" s="147" t="str">
        <f t="shared" si="17"/>
        <v>XI-9_26</v>
      </c>
      <c r="I296" s="32">
        <v>7</v>
      </c>
      <c r="J296" s="32" t="str">
        <f t="shared" si="18"/>
        <v>0087726095-295</v>
      </c>
      <c r="K296" s="32" t="str">
        <f t="shared" si="19"/>
        <v>0087726095-295</v>
      </c>
      <c r="L296" s="32">
        <v>19</v>
      </c>
      <c r="M296" s="149"/>
      <c r="N296" s="150"/>
      <c r="O296" s="152">
        <v>295</v>
      </c>
    </row>
    <row r="297" spans="1:16" ht="15.5" x14ac:dyDescent="0.35">
      <c r="A297" s="1" t="str">
        <f t="shared" si="16"/>
        <v>19-8</v>
      </c>
      <c r="B297" s="26">
        <v>296</v>
      </c>
      <c r="C297" s="153" t="s">
        <v>615</v>
      </c>
      <c r="D297" s="154" t="s">
        <v>616</v>
      </c>
      <c r="E297" s="155" t="s">
        <v>23</v>
      </c>
      <c r="F297" s="146" t="s">
        <v>564</v>
      </c>
      <c r="G297" s="147">
        <v>27</v>
      </c>
      <c r="H297" s="147" t="str">
        <f t="shared" si="17"/>
        <v>XI-9_27</v>
      </c>
      <c r="I297" s="32">
        <v>8</v>
      </c>
      <c r="J297" s="32" t="str">
        <f t="shared" si="18"/>
        <v>0084858532-296</v>
      </c>
      <c r="K297" s="32" t="str">
        <f t="shared" si="19"/>
        <v>0084858532-296</v>
      </c>
      <c r="L297" s="32">
        <v>19</v>
      </c>
      <c r="M297" s="149"/>
      <c r="N297" s="150"/>
      <c r="O297" s="151">
        <v>296</v>
      </c>
    </row>
    <row r="298" spans="1:16" ht="15.5" x14ac:dyDescent="0.35">
      <c r="A298" s="1" t="str">
        <f t="shared" si="16"/>
        <v>19-9</v>
      </c>
      <c r="B298" s="26">
        <v>297</v>
      </c>
      <c r="C298" s="153" t="s">
        <v>617</v>
      </c>
      <c r="D298" s="154" t="s">
        <v>618</v>
      </c>
      <c r="E298" s="155" t="s">
        <v>23</v>
      </c>
      <c r="F298" s="146" t="s">
        <v>564</v>
      </c>
      <c r="G298" s="147">
        <v>28</v>
      </c>
      <c r="H298" s="147" t="str">
        <f t="shared" si="17"/>
        <v>XI-9_28</v>
      </c>
      <c r="I298" s="32">
        <v>9</v>
      </c>
      <c r="J298" s="32" t="str">
        <f t="shared" si="18"/>
        <v>0086136290-297</v>
      </c>
      <c r="K298" s="32" t="str">
        <f t="shared" si="19"/>
        <v>0086136290-297</v>
      </c>
      <c r="L298" s="32">
        <v>19</v>
      </c>
      <c r="M298" s="149"/>
      <c r="N298" s="150"/>
      <c r="O298" s="151">
        <v>297</v>
      </c>
      <c r="P298" s="160"/>
    </row>
    <row r="299" spans="1:16" ht="15.5" x14ac:dyDescent="0.35">
      <c r="A299" s="1" t="str">
        <f t="shared" si="16"/>
        <v>19-10</v>
      </c>
      <c r="B299" s="26">
        <v>298</v>
      </c>
      <c r="C299" s="153" t="s">
        <v>619</v>
      </c>
      <c r="D299" s="154" t="s">
        <v>620</v>
      </c>
      <c r="E299" s="155" t="s">
        <v>23</v>
      </c>
      <c r="F299" s="146" t="s">
        <v>564</v>
      </c>
      <c r="G299" s="147">
        <v>29</v>
      </c>
      <c r="H299" s="147" t="str">
        <f t="shared" si="17"/>
        <v>XI-9_29</v>
      </c>
      <c r="I299" s="32">
        <v>10</v>
      </c>
      <c r="J299" s="32" t="str">
        <f t="shared" si="18"/>
        <v>0095901462-298</v>
      </c>
      <c r="K299" s="32" t="str">
        <f t="shared" si="19"/>
        <v>0095901462-298</v>
      </c>
      <c r="L299" s="32">
        <v>19</v>
      </c>
      <c r="M299" s="161"/>
      <c r="N299" s="151"/>
      <c r="O299" s="162">
        <v>298</v>
      </c>
    </row>
    <row r="300" spans="1:16" ht="15.5" x14ac:dyDescent="0.35">
      <c r="A300" s="1" t="str">
        <f t="shared" si="16"/>
        <v>19-11</v>
      </c>
      <c r="B300" s="26">
        <v>299</v>
      </c>
      <c r="C300" s="153" t="s">
        <v>621</v>
      </c>
      <c r="D300" s="154" t="s">
        <v>622</v>
      </c>
      <c r="E300" s="155" t="s">
        <v>23</v>
      </c>
      <c r="F300" s="146" t="s">
        <v>564</v>
      </c>
      <c r="G300" s="147">
        <v>30</v>
      </c>
      <c r="H300" s="147" t="str">
        <f t="shared" si="17"/>
        <v>XI-9_30</v>
      </c>
      <c r="I300" s="32">
        <v>11</v>
      </c>
      <c r="J300" s="32" t="str">
        <f t="shared" si="18"/>
        <v>0091332956-299</v>
      </c>
      <c r="K300" s="32" t="str">
        <f t="shared" si="19"/>
        <v>0091332956-299</v>
      </c>
      <c r="L300" s="32">
        <v>19</v>
      </c>
      <c r="M300" s="163"/>
      <c r="N300" s="151"/>
      <c r="O300" s="151">
        <v>299</v>
      </c>
    </row>
    <row r="301" spans="1:16" ht="15.5" x14ac:dyDescent="0.35">
      <c r="A301" s="1" t="str">
        <f t="shared" si="16"/>
        <v>19-12</v>
      </c>
      <c r="B301" s="26">
        <v>300</v>
      </c>
      <c r="C301" s="153" t="s">
        <v>623</v>
      </c>
      <c r="D301" s="154" t="s">
        <v>624</v>
      </c>
      <c r="E301" s="155" t="s">
        <v>23</v>
      </c>
      <c r="F301" s="146" t="s">
        <v>564</v>
      </c>
      <c r="G301" s="147">
        <v>31</v>
      </c>
      <c r="H301" s="147" t="str">
        <f t="shared" si="17"/>
        <v>XI-9_31</v>
      </c>
      <c r="I301" s="32">
        <v>12</v>
      </c>
      <c r="J301" s="32" t="str">
        <f t="shared" si="18"/>
        <v>0091600960-300</v>
      </c>
      <c r="K301" s="32" t="str">
        <f t="shared" si="19"/>
        <v>0091600960-300</v>
      </c>
      <c r="L301" s="32">
        <v>19</v>
      </c>
      <c r="M301" s="149"/>
      <c r="N301" s="150"/>
      <c r="O301" s="162">
        <v>300</v>
      </c>
    </row>
    <row r="302" spans="1:16" x14ac:dyDescent="0.35">
      <c r="A302" s="1" t="str">
        <f t="shared" si="16"/>
        <v>1-17</v>
      </c>
      <c r="B302" s="26">
        <v>301</v>
      </c>
      <c r="C302" s="164" t="s">
        <v>625</v>
      </c>
      <c r="D302" s="165" t="s">
        <v>626</v>
      </c>
      <c r="E302" s="166" t="s">
        <v>13</v>
      </c>
      <c r="F302" s="167" t="s">
        <v>627</v>
      </c>
      <c r="G302" s="168">
        <v>1</v>
      </c>
      <c r="H302" s="168" t="str">
        <f t="shared" si="17"/>
        <v>X-1_1</v>
      </c>
      <c r="I302" s="168">
        <v>17</v>
      </c>
      <c r="J302" s="168" t="str">
        <f t="shared" si="18"/>
        <v>0101573665-301</v>
      </c>
      <c r="K302" s="168" t="str">
        <f t="shared" si="19"/>
        <v>0101573665-301</v>
      </c>
      <c r="L302" s="168">
        <v>1</v>
      </c>
      <c r="M302" s="169" t="s">
        <v>20</v>
      </c>
      <c r="N302" s="170">
        <f>COUNTIF($E$299:$E$619,"P")</f>
        <v>173</v>
      </c>
      <c r="O302" s="171">
        <v>1</v>
      </c>
    </row>
    <row r="303" spans="1:16" x14ac:dyDescent="0.35">
      <c r="A303" s="1" t="str">
        <f t="shared" si="16"/>
        <v>1-18</v>
      </c>
      <c r="B303" s="26">
        <v>302</v>
      </c>
      <c r="C303" s="27" t="s">
        <v>628</v>
      </c>
      <c r="D303" s="172" t="s">
        <v>629</v>
      </c>
      <c r="E303" s="166" t="s">
        <v>23</v>
      </c>
      <c r="F303" s="167" t="s">
        <v>627</v>
      </c>
      <c r="G303" s="168">
        <v>2</v>
      </c>
      <c r="H303" s="168" t="str">
        <f t="shared" si="17"/>
        <v>X-1_2</v>
      </c>
      <c r="I303" s="168">
        <v>18</v>
      </c>
      <c r="J303" s="168" t="str">
        <f t="shared" si="18"/>
        <v>0104410831-302</v>
      </c>
      <c r="K303" s="168" t="str">
        <f t="shared" si="19"/>
        <v>0104410831-302</v>
      </c>
      <c r="L303" s="168">
        <v>1</v>
      </c>
      <c r="M303" s="173" t="s">
        <v>17</v>
      </c>
      <c r="N303" s="170">
        <f>COUNTIF($E$299:$E$619,"L")</f>
        <v>148</v>
      </c>
      <c r="O303" s="171">
        <v>2</v>
      </c>
    </row>
    <row r="304" spans="1:16" x14ac:dyDescent="0.35">
      <c r="A304" s="1" t="str">
        <f t="shared" si="16"/>
        <v>1-19</v>
      </c>
      <c r="B304" s="26">
        <v>303</v>
      </c>
      <c r="C304" s="164" t="s">
        <v>630</v>
      </c>
      <c r="D304" s="165" t="s">
        <v>631</v>
      </c>
      <c r="E304" s="166" t="s">
        <v>23</v>
      </c>
      <c r="F304" s="167" t="s">
        <v>627</v>
      </c>
      <c r="G304" s="168">
        <v>3</v>
      </c>
      <c r="H304" s="168" t="str">
        <f t="shared" si="17"/>
        <v>X-1_3</v>
      </c>
      <c r="I304" s="168">
        <v>19</v>
      </c>
      <c r="J304" s="168" t="str">
        <f t="shared" si="18"/>
        <v>0106098029-303</v>
      </c>
      <c r="K304" s="168" t="str">
        <f t="shared" si="19"/>
        <v>0106098029-303</v>
      </c>
      <c r="L304" s="168">
        <v>1</v>
      </c>
      <c r="M304" s="174"/>
      <c r="N304" s="171"/>
      <c r="O304" s="171">
        <v>3</v>
      </c>
    </row>
    <row r="305" spans="1:15" x14ac:dyDescent="0.35">
      <c r="A305" s="1" t="str">
        <f t="shared" si="16"/>
        <v>1-20</v>
      </c>
      <c r="B305" s="26">
        <v>304</v>
      </c>
      <c r="C305" s="164" t="s">
        <v>632</v>
      </c>
      <c r="D305" s="165" t="s">
        <v>633</v>
      </c>
      <c r="E305" s="166" t="s">
        <v>23</v>
      </c>
      <c r="F305" s="167" t="s">
        <v>627</v>
      </c>
      <c r="G305" s="168">
        <v>4</v>
      </c>
      <c r="H305" s="168" t="str">
        <f t="shared" si="17"/>
        <v>X-1_4</v>
      </c>
      <c r="I305" s="168">
        <v>20</v>
      </c>
      <c r="J305" s="168" t="str">
        <f t="shared" si="18"/>
        <v>0099187514-304</v>
      </c>
      <c r="K305" s="168" t="str">
        <f t="shared" si="19"/>
        <v>0099187514-304</v>
      </c>
      <c r="L305" s="168">
        <v>1</v>
      </c>
      <c r="M305" s="174"/>
      <c r="N305" s="171"/>
      <c r="O305" s="171">
        <v>4</v>
      </c>
    </row>
    <row r="306" spans="1:15" x14ac:dyDescent="0.35">
      <c r="A306" s="1" t="str">
        <f t="shared" si="16"/>
        <v>1-21</v>
      </c>
      <c r="B306" s="26">
        <v>305</v>
      </c>
      <c r="C306" s="164" t="s">
        <v>634</v>
      </c>
      <c r="D306" s="165" t="s">
        <v>635</v>
      </c>
      <c r="E306" s="166" t="s">
        <v>13</v>
      </c>
      <c r="F306" s="167" t="s">
        <v>627</v>
      </c>
      <c r="G306" s="168">
        <v>5</v>
      </c>
      <c r="H306" s="168" t="str">
        <f t="shared" si="17"/>
        <v>X-1_5</v>
      </c>
      <c r="I306" s="168">
        <v>21</v>
      </c>
      <c r="J306" s="168" t="str">
        <f t="shared" si="18"/>
        <v>0092603404-305</v>
      </c>
      <c r="K306" s="168" t="str">
        <f t="shared" si="19"/>
        <v>0092603404-305</v>
      </c>
      <c r="L306" s="168">
        <v>1</v>
      </c>
      <c r="M306" s="174"/>
      <c r="N306" s="171"/>
      <c r="O306" s="171">
        <v>5</v>
      </c>
    </row>
    <row r="307" spans="1:15" x14ac:dyDescent="0.35">
      <c r="A307" s="1" t="str">
        <f t="shared" si="16"/>
        <v>1-22</v>
      </c>
      <c r="B307" s="26">
        <v>306</v>
      </c>
      <c r="C307" s="164" t="s">
        <v>636</v>
      </c>
      <c r="D307" s="165" t="s">
        <v>637</v>
      </c>
      <c r="E307" s="166" t="s">
        <v>13</v>
      </c>
      <c r="F307" s="167" t="s">
        <v>627</v>
      </c>
      <c r="G307" s="168">
        <v>6</v>
      </c>
      <c r="H307" s="168" t="str">
        <f t="shared" si="17"/>
        <v>X-1_6</v>
      </c>
      <c r="I307" s="168">
        <v>22</v>
      </c>
      <c r="J307" s="168" t="str">
        <f t="shared" si="18"/>
        <v>0104491775-306</v>
      </c>
      <c r="K307" s="168" t="str">
        <f t="shared" si="19"/>
        <v>0104491775-306</v>
      </c>
      <c r="L307" s="168">
        <v>1</v>
      </c>
      <c r="M307" s="174"/>
      <c r="N307" s="171"/>
      <c r="O307" s="171">
        <v>6</v>
      </c>
    </row>
    <row r="308" spans="1:15" x14ac:dyDescent="0.35">
      <c r="A308" s="1" t="str">
        <f t="shared" si="16"/>
        <v>1-23</v>
      </c>
      <c r="B308" s="26">
        <v>307</v>
      </c>
      <c r="C308" s="164" t="s">
        <v>638</v>
      </c>
      <c r="D308" s="165" t="s">
        <v>639</v>
      </c>
      <c r="E308" s="166" t="s">
        <v>13</v>
      </c>
      <c r="F308" s="167" t="s">
        <v>627</v>
      </c>
      <c r="G308" s="168">
        <v>7</v>
      </c>
      <c r="H308" s="168" t="str">
        <f t="shared" si="17"/>
        <v>X-1_7</v>
      </c>
      <c r="I308" s="168">
        <v>23</v>
      </c>
      <c r="J308" s="168" t="str">
        <f t="shared" si="18"/>
        <v>0096926616-307</v>
      </c>
      <c r="K308" s="168" t="str">
        <f t="shared" si="19"/>
        <v>0096926616-307</v>
      </c>
      <c r="L308" s="168">
        <v>1</v>
      </c>
      <c r="M308" s="174"/>
      <c r="N308" s="171"/>
      <c r="O308" s="171">
        <v>7</v>
      </c>
    </row>
    <row r="309" spans="1:15" x14ac:dyDescent="0.35">
      <c r="A309" s="1" t="str">
        <f t="shared" si="16"/>
        <v>1-24</v>
      </c>
      <c r="B309" s="26">
        <v>308</v>
      </c>
      <c r="C309" s="164" t="s">
        <v>640</v>
      </c>
      <c r="D309" s="165" t="s">
        <v>641</v>
      </c>
      <c r="E309" s="166" t="s">
        <v>23</v>
      </c>
      <c r="F309" s="167" t="s">
        <v>627</v>
      </c>
      <c r="G309" s="168">
        <v>8</v>
      </c>
      <c r="H309" s="168" t="str">
        <f t="shared" si="17"/>
        <v>X-1_8</v>
      </c>
      <c r="I309" s="168">
        <v>24</v>
      </c>
      <c r="J309" s="168" t="str">
        <f t="shared" si="18"/>
        <v>0101854648-308</v>
      </c>
      <c r="K309" s="168" t="str">
        <f t="shared" si="19"/>
        <v>0101854648-308</v>
      </c>
      <c r="L309" s="168">
        <v>1</v>
      </c>
      <c r="M309" s="174"/>
      <c r="N309" s="171"/>
      <c r="O309" s="171">
        <v>8</v>
      </c>
    </row>
    <row r="310" spans="1:15" x14ac:dyDescent="0.35">
      <c r="A310" s="1" t="str">
        <f t="shared" si="16"/>
        <v>1-25</v>
      </c>
      <c r="B310" s="26">
        <v>309</v>
      </c>
      <c r="C310" s="164" t="s">
        <v>642</v>
      </c>
      <c r="D310" s="165" t="s">
        <v>643</v>
      </c>
      <c r="E310" s="166" t="s">
        <v>13</v>
      </c>
      <c r="F310" s="167" t="s">
        <v>627</v>
      </c>
      <c r="G310" s="168">
        <v>9</v>
      </c>
      <c r="H310" s="168" t="str">
        <f t="shared" si="17"/>
        <v>X-1_9</v>
      </c>
      <c r="I310" s="168">
        <v>25</v>
      </c>
      <c r="J310" s="168" t="str">
        <f t="shared" si="18"/>
        <v>0096697601-309</v>
      </c>
      <c r="K310" s="168" t="str">
        <f t="shared" si="19"/>
        <v>0096697601-309</v>
      </c>
      <c r="L310" s="168">
        <v>1</v>
      </c>
      <c r="M310" s="174"/>
      <c r="N310" s="171"/>
      <c r="O310" s="171">
        <v>9</v>
      </c>
    </row>
    <row r="311" spans="1:15" x14ac:dyDescent="0.35">
      <c r="A311" s="1" t="str">
        <f t="shared" si="16"/>
        <v>1-26</v>
      </c>
      <c r="B311" s="26">
        <v>310</v>
      </c>
      <c r="C311" s="164" t="s">
        <v>644</v>
      </c>
      <c r="D311" s="165" t="s">
        <v>645</v>
      </c>
      <c r="E311" s="166" t="s">
        <v>13</v>
      </c>
      <c r="F311" s="167" t="s">
        <v>627</v>
      </c>
      <c r="G311" s="168">
        <v>10</v>
      </c>
      <c r="H311" s="168" t="str">
        <f t="shared" si="17"/>
        <v>X-1_10</v>
      </c>
      <c r="I311" s="168">
        <v>26</v>
      </c>
      <c r="J311" s="168" t="str">
        <f t="shared" si="18"/>
        <v>0099597736-310</v>
      </c>
      <c r="K311" s="168" t="str">
        <f t="shared" si="19"/>
        <v>0099597736-310</v>
      </c>
      <c r="L311" s="168">
        <v>1</v>
      </c>
      <c r="M311" s="174"/>
      <c r="N311" s="171"/>
      <c r="O311" s="171">
        <v>10</v>
      </c>
    </row>
    <row r="312" spans="1:15" x14ac:dyDescent="0.35">
      <c r="A312" s="1" t="str">
        <f t="shared" si="16"/>
        <v>1-27</v>
      </c>
      <c r="B312" s="26">
        <v>311</v>
      </c>
      <c r="C312" s="164" t="s">
        <v>646</v>
      </c>
      <c r="D312" s="165" t="s">
        <v>647</v>
      </c>
      <c r="E312" s="166" t="s">
        <v>23</v>
      </c>
      <c r="F312" s="167" t="s">
        <v>627</v>
      </c>
      <c r="G312" s="168">
        <v>11</v>
      </c>
      <c r="H312" s="168" t="str">
        <f t="shared" si="17"/>
        <v>X-1_11</v>
      </c>
      <c r="I312" s="168">
        <v>27</v>
      </c>
      <c r="J312" s="168" t="str">
        <f t="shared" si="18"/>
        <v>0102041192-311</v>
      </c>
      <c r="K312" s="168" t="str">
        <f t="shared" si="19"/>
        <v>0102041192-311</v>
      </c>
      <c r="L312" s="168">
        <v>1</v>
      </c>
      <c r="M312" s="174"/>
      <c r="N312" s="171"/>
      <c r="O312" s="171">
        <v>11</v>
      </c>
    </row>
    <row r="313" spans="1:15" x14ac:dyDescent="0.35">
      <c r="A313" s="1" t="str">
        <f t="shared" si="16"/>
        <v>1-28</v>
      </c>
      <c r="B313" s="26">
        <v>312</v>
      </c>
      <c r="C313" s="164" t="s">
        <v>648</v>
      </c>
      <c r="D313" s="165" t="s">
        <v>649</v>
      </c>
      <c r="E313" s="166" t="s">
        <v>13</v>
      </c>
      <c r="F313" s="175" t="s">
        <v>627</v>
      </c>
      <c r="G313" s="168">
        <v>12</v>
      </c>
      <c r="H313" s="176" t="str">
        <f t="shared" si="17"/>
        <v>X-1_12</v>
      </c>
      <c r="I313" s="168">
        <v>28</v>
      </c>
      <c r="J313" s="168" t="str">
        <f t="shared" si="18"/>
        <v>0095968563-312</v>
      </c>
      <c r="K313" s="168" t="str">
        <f t="shared" si="19"/>
        <v>0095968563-312</v>
      </c>
      <c r="L313" s="168">
        <v>1</v>
      </c>
      <c r="M313" s="174"/>
      <c r="N313" s="171"/>
      <c r="O313" s="171">
        <v>12</v>
      </c>
    </row>
    <row r="314" spans="1:15" x14ac:dyDescent="0.35">
      <c r="A314" s="1" t="str">
        <f t="shared" si="16"/>
        <v>1-29</v>
      </c>
      <c r="B314" s="26">
        <v>313</v>
      </c>
      <c r="C314" s="164" t="s">
        <v>650</v>
      </c>
      <c r="D314" s="165" t="s">
        <v>651</v>
      </c>
      <c r="E314" s="166" t="s">
        <v>23</v>
      </c>
      <c r="F314" s="175" t="s">
        <v>627</v>
      </c>
      <c r="G314" s="168">
        <v>13</v>
      </c>
      <c r="H314" s="176" t="str">
        <f t="shared" si="17"/>
        <v>X-1_13</v>
      </c>
      <c r="I314" s="168">
        <v>29</v>
      </c>
      <c r="J314" s="168" t="str">
        <f t="shared" si="18"/>
        <v>0095384430-313</v>
      </c>
      <c r="K314" s="168" t="str">
        <f t="shared" si="19"/>
        <v>0095384430-313</v>
      </c>
      <c r="L314" s="168">
        <v>1</v>
      </c>
      <c r="M314" s="174"/>
      <c r="N314" s="171"/>
      <c r="O314" s="171">
        <v>13</v>
      </c>
    </row>
    <row r="315" spans="1:15" x14ac:dyDescent="0.35">
      <c r="A315" s="1" t="str">
        <f t="shared" si="16"/>
        <v>1-30</v>
      </c>
      <c r="B315" s="26">
        <v>314</v>
      </c>
      <c r="C315" s="164" t="s">
        <v>652</v>
      </c>
      <c r="D315" s="165" t="s">
        <v>653</v>
      </c>
      <c r="E315" s="166" t="s">
        <v>13</v>
      </c>
      <c r="F315" s="175" t="s">
        <v>627</v>
      </c>
      <c r="G315" s="168">
        <v>14</v>
      </c>
      <c r="H315" s="176" t="str">
        <f t="shared" si="17"/>
        <v>X-1_14</v>
      </c>
      <c r="I315" s="168">
        <v>30</v>
      </c>
      <c r="J315" s="168" t="str">
        <f t="shared" si="18"/>
        <v>0109038092-314</v>
      </c>
      <c r="K315" s="168" t="str">
        <f t="shared" si="19"/>
        <v>0109038092-314</v>
      </c>
      <c r="L315" s="168">
        <v>1</v>
      </c>
      <c r="M315" s="174"/>
      <c r="N315" s="171"/>
      <c r="O315" s="171">
        <v>14</v>
      </c>
    </row>
    <row r="316" spans="1:15" x14ac:dyDescent="0.35">
      <c r="A316" s="1" t="str">
        <f t="shared" si="16"/>
        <v>1-31</v>
      </c>
      <c r="B316" s="26">
        <v>315</v>
      </c>
      <c r="C316" s="27" t="s">
        <v>654</v>
      </c>
      <c r="D316" s="172" t="s">
        <v>655</v>
      </c>
      <c r="E316" s="166" t="s">
        <v>13</v>
      </c>
      <c r="F316" s="175" t="s">
        <v>627</v>
      </c>
      <c r="G316" s="168">
        <v>15</v>
      </c>
      <c r="H316" s="176" t="str">
        <f t="shared" si="17"/>
        <v>X-1_15</v>
      </c>
      <c r="I316" s="168">
        <v>31</v>
      </c>
      <c r="J316" s="168" t="str">
        <f t="shared" si="18"/>
        <v>0093136754-315</v>
      </c>
      <c r="K316" s="168" t="str">
        <f t="shared" si="19"/>
        <v>0093136754-315</v>
      </c>
      <c r="L316" s="168">
        <v>1</v>
      </c>
      <c r="M316" s="174"/>
      <c r="N316" s="171"/>
      <c r="O316" s="171">
        <v>15</v>
      </c>
    </row>
    <row r="317" spans="1:15" x14ac:dyDescent="0.35">
      <c r="A317" s="1" t="str">
        <f t="shared" si="16"/>
        <v>1-32</v>
      </c>
      <c r="B317" s="26">
        <v>316</v>
      </c>
      <c r="C317" s="164" t="s">
        <v>656</v>
      </c>
      <c r="D317" s="165" t="s">
        <v>657</v>
      </c>
      <c r="E317" s="166" t="s">
        <v>13</v>
      </c>
      <c r="F317" s="175" t="s">
        <v>627</v>
      </c>
      <c r="G317" s="168">
        <v>16</v>
      </c>
      <c r="H317" s="176" t="str">
        <f t="shared" si="17"/>
        <v>X-1_16</v>
      </c>
      <c r="I317" s="168">
        <v>32</v>
      </c>
      <c r="J317" s="168" t="str">
        <f t="shared" si="18"/>
        <v>0094998218-316</v>
      </c>
      <c r="K317" s="32" t="str">
        <f t="shared" si="19"/>
        <v>0094998218-316</v>
      </c>
      <c r="L317" s="168">
        <v>1</v>
      </c>
      <c r="M317" s="174"/>
      <c r="N317" s="171"/>
      <c r="O317" s="171">
        <v>16</v>
      </c>
    </row>
    <row r="318" spans="1:15" x14ac:dyDescent="0.35">
      <c r="A318" s="1" t="str">
        <f t="shared" si="16"/>
        <v>1-33</v>
      </c>
      <c r="B318" s="26">
        <v>317</v>
      </c>
      <c r="C318" s="164" t="s">
        <v>658</v>
      </c>
      <c r="D318" s="165" t="s">
        <v>659</v>
      </c>
      <c r="E318" s="166" t="s">
        <v>23</v>
      </c>
      <c r="F318" s="167" t="s">
        <v>627</v>
      </c>
      <c r="G318" s="168">
        <v>17</v>
      </c>
      <c r="H318" s="168" t="str">
        <f t="shared" si="17"/>
        <v>X-1_17</v>
      </c>
      <c r="I318" s="168">
        <v>33</v>
      </c>
      <c r="J318" s="168" t="str">
        <f t="shared" si="18"/>
        <v>0096684850-317</v>
      </c>
      <c r="K318" s="32" t="str">
        <f t="shared" si="19"/>
        <v>0096684850-317</v>
      </c>
      <c r="L318" s="168">
        <v>1</v>
      </c>
      <c r="M318" s="174"/>
      <c r="N318" s="171"/>
      <c r="O318" s="171">
        <v>17</v>
      </c>
    </row>
    <row r="319" spans="1:15" x14ac:dyDescent="0.35">
      <c r="A319" s="1" t="str">
        <f t="shared" si="16"/>
        <v>2-17</v>
      </c>
      <c r="B319" s="26">
        <v>318</v>
      </c>
      <c r="C319" s="164" t="s">
        <v>660</v>
      </c>
      <c r="D319" s="165" t="s">
        <v>661</v>
      </c>
      <c r="E319" s="166" t="s">
        <v>13</v>
      </c>
      <c r="F319" s="167" t="s">
        <v>627</v>
      </c>
      <c r="G319" s="168">
        <v>18</v>
      </c>
      <c r="H319" s="168" t="str">
        <f t="shared" si="17"/>
        <v>X-1_18</v>
      </c>
      <c r="I319" s="32">
        <v>17</v>
      </c>
      <c r="J319" s="32" t="str">
        <f t="shared" si="18"/>
        <v>0092325957-318</v>
      </c>
      <c r="K319" s="32" t="str">
        <f t="shared" si="19"/>
        <v>0092325957-318</v>
      </c>
      <c r="L319" s="32">
        <v>2</v>
      </c>
      <c r="M319" s="174"/>
      <c r="N319" s="171"/>
      <c r="O319" s="171">
        <v>18</v>
      </c>
    </row>
    <row r="320" spans="1:15" x14ac:dyDescent="0.35">
      <c r="A320" s="1" t="str">
        <f t="shared" si="16"/>
        <v>2-18</v>
      </c>
      <c r="B320" s="26">
        <v>319</v>
      </c>
      <c r="C320" s="164" t="s">
        <v>662</v>
      </c>
      <c r="D320" s="165" t="s">
        <v>663</v>
      </c>
      <c r="E320" s="166" t="s">
        <v>23</v>
      </c>
      <c r="F320" s="167" t="s">
        <v>627</v>
      </c>
      <c r="G320" s="168">
        <v>19</v>
      </c>
      <c r="H320" s="168" t="str">
        <f t="shared" si="17"/>
        <v>X-1_19</v>
      </c>
      <c r="I320" s="32">
        <v>18</v>
      </c>
      <c r="J320" s="32" t="str">
        <f t="shared" si="18"/>
        <v>0099428499-319</v>
      </c>
      <c r="K320" s="32" t="str">
        <f t="shared" si="19"/>
        <v>0099428499-319</v>
      </c>
      <c r="L320" s="32">
        <v>2</v>
      </c>
      <c r="M320" s="174"/>
      <c r="N320" s="171"/>
      <c r="O320" s="171">
        <v>19</v>
      </c>
    </row>
    <row r="321" spans="1:15" x14ac:dyDescent="0.35">
      <c r="A321" s="1" t="str">
        <f t="shared" si="16"/>
        <v>2-19</v>
      </c>
      <c r="B321" s="26">
        <v>320</v>
      </c>
      <c r="C321" s="164" t="s">
        <v>664</v>
      </c>
      <c r="D321" s="165" t="s">
        <v>665</v>
      </c>
      <c r="E321" s="166" t="s">
        <v>23</v>
      </c>
      <c r="F321" s="167" t="s">
        <v>627</v>
      </c>
      <c r="G321" s="168">
        <v>20</v>
      </c>
      <c r="H321" s="168" t="str">
        <f t="shared" si="17"/>
        <v>X-1_20</v>
      </c>
      <c r="I321" s="32">
        <v>19</v>
      </c>
      <c r="J321" s="32" t="str">
        <f t="shared" si="18"/>
        <v>0098381527-320</v>
      </c>
      <c r="K321" s="32" t="str">
        <f t="shared" si="19"/>
        <v>0098381527-320</v>
      </c>
      <c r="L321" s="32">
        <v>2</v>
      </c>
      <c r="M321" s="174"/>
      <c r="N321" s="171"/>
      <c r="O321" s="171">
        <v>20</v>
      </c>
    </row>
    <row r="322" spans="1:15" x14ac:dyDescent="0.35">
      <c r="A322" s="1" t="str">
        <f t="shared" ref="A322:A385" si="20">L322&amp;"-"&amp;I322</f>
        <v>2-20</v>
      </c>
      <c r="B322" s="26">
        <v>321</v>
      </c>
      <c r="C322" s="164" t="s">
        <v>666</v>
      </c>
      <c r="D322" s="165" t="s">
        <v>667</v>
      </c>
      <c r="E322" s="166" t="s">
        <v>23</v>
      </c>
      <c r="F322" s="167" t="s">
        <v>627</v>
      </c>
      <c r="G322" s="168">
        <v>21</v>
      </c>
      <c r="H322" s="168" t="str">
        <f t="shared" ref="H322:H385" si="21">F322&amp;"_"&amp;G322</f>
        <v>X-1_21</v>
      </c>
      <c r="I322" s="32">
        <v>20</v>
      </c>
      <c r="J322" s="32" t="str">
        <f t="shared" ref="J322:J385" si="22">C322&amp;"-"&amp;B322</f>
        <v>0099552804-321</v>
      </c>
      <c r="K322" s="32" t="str">
        <f t="shared" ref="K322:K346" si="23">C322&amp;"-"&amp;B322</f>
        <v>0099552804-321</v>
      </c>
      <c r="L322" s="32">
        <v>2</v>
      </c>
      <c r="M322" s="174"/>
      <c r="N322" s="171"/>
      <c r="O322" s="171">
        <v>21</v>
      </c>
    </row>
    <row r="323" spans="1:15" x14ac:dyDescent="0.35">
      <c r="A323" s="1" t="str">
        <f t="shared" si="20"/>
        <v>2-21</v>
      </c>
      <c r="B323" s="26">
        <v>322</v>
      </c>
      <c r="C323" s="164" t="s">
        <v>668</v>
      </c>
      <c r="D323" s="165" t="s">
        <v>669</v>
      </c>
      <c r="E323" s="166" t="s">
        <v>23</v>
      </c>
      <c r="F323" s="167" t="s">
        <v>627</v>
      </c>
      <c r="G323" s="168">
        <v>22</v>
      </c>
      <c r="H323" s="168" t="str">
        <f t="shared" si="21"/>
        <v>X-1_22</v>
      </c>
      <c r="I323" s="32">
        <v>21</v>
      </c>
      <c r="J323" s="32" t="str">
        <f t="shared" si="22"/>
        <v>0102710355-322</v>
      </c>
      <c r="K323" s="32" t="str">
        <f t="shared" si="23"/>
        <v>0102710355-322</v>
      </c>
      <c r="L323" s="32">
        <v>2</v>
      </c>
      <c r="M323" s="174"/>
      <c r="N323" s="171"/>
      <c r="O323" s="171">
        <v>22</v>
      </c>
    </row>
    <row r="324" spans="1:15" x14ac:dyDescent="0.35">
      <c r="A324" s="1" t="str">
        <f t="shared" si="20"/>
        <v>2-22</v>
      </c>
      <c r="B324" s="26">
        <v>323</v>
      </c>
      <c r="C324" s="164" t="s">
        <v>670</v>
      </c>
      <c r="D324" s="165" t="s">
        <v>671</v>
      </c>
      <c r="E324" s="166" t="s">
        <v>13</v>
      </c>
      <c r="F324" s="167" t="s">
        <v>627</v>
      </c>
      <c r="G324" s="168">
        <v>23</v>
      </c>
      <c r="H324" s="168" t="str">
        <f t="shared" si="21"/>
        <v>X-1_23</v>
      </c>
      <c r="I324" s="32">
        <v>22</v>
      </c>
      <c r="J324" s="32" t="str">
        <f t="shared" si="22"/>
        <v>0094358182-323</v>
      </c>
      <c r="K324" s="32" t="str">
        <f t="shared" si="23"/>
        <v>0094358182-323</v>
      </c>
      <c r="L324" s="32">
        <v>2</v>
      </c>
      <c r="M324" s="174"/>
      <c r="N324" s="171"/>
      <c r="O324" s="171">
        <v>23</v>
      </c>
    </row>
    <row r="325" spans="1:15" s="181" customFormat="1" x14ac:dyDescent="0.35">
      <c r="A325" s="177" t="str">
        <f t="shared" si="20"/>
        <v>2-23</v>
      </c>
      <c r="B325" s="178">
        <v>324</v>
      </c>
      <c r="C325" s="37" t="s">
        <v>672</v>
      </c>
      <c r="D325" s="179" t="s">
        <v>673</v>
      </c>
      <c r="E325" s="180" t="s">
        <v>13</v>
      </c>
      <c r="F325" s="167" t="s">
        <v>627</v>
      </c>
      <c r="G325" s="168">
        <v>24</v>
      </c>
      <c r="H325" s="168" t="str">
        <f t="shared" si="21"/>
        <v>X-1_24</v>
      </c>
      <c r="I325" s="32">
        <v>23</v>
      </c>
      <c r="J325" s="32" t="str">
        <f t="shared" si="22"/>
        <v>0095829479-324</v>
      </c>
      <c r="K325" s="32" t="str">
        <f t="shared" si="23"/>
        <v>0095829479-324</v>
      </c>
      <c r="L325" s="32">
        <v>2</v>
      </c>
      <c r="M325" s="174"/>
      <c r="N325" s="171"/>
      <c r="O325" s="171">
        <v>24</v>
      </c>
    </row>
    <row r="326" spans="1:15" x14ac:dyDescent="0.35">
      <c r="A326" s="1" t="str">
        <f t="shared" si="20"/>
        <v>2-24</v>
      </c>
      <c r="B326" s="26">
        <v>325</v>
      </c>
      <c r="C326" s="164">
        <v>2023072072</v>
      </c>
      <c r="D326" s="165" t="s">
        <v>674</v>
      </c>
      <c r="E326" s="166" t="s">
        <v>13</v>
      </c>
      <c r="F326" s="167" t="s">
        <v>627</v>
      </c>
      <c r="G326" s="168">
        <v>25</v>
      </c>
      <c r="H326" s="168" t="str">
        <f t="shared" si="21"/>
        <v>X-1_25</v>
      </c>
      <c r="I326" s="32">
        <v>24</v>
      </c>
      <c r="J326" s="32" t="str">
        <f t="shared" si="22"/>
        <v>2023072072-325</v>
      </c>
      <c r="K326" s="32" t="str">
        <f t="shared" si="23"/>
        <v>2023072072-325</v>
      </c>
      <c r="L326" s="32">
        <v>2</v>
      </c>
      <c r="M326" s="174"/>
      <c r="N326" s="171"/>
      <c r="O326" s="171">
        <v>25</v>
      </c>
    </row>
    <row r="327" spans="1:15" x14ac:dyDescent="0.35">
      <c r="A327" s="1" t="str">
        <f t="shared" si="20"/>
        <v>2-25</v>
      </c>
      <c r="B327" s="26">
        <v>326</v>
      </c>
      <c r="C327" s="164">
        <v>3107482364</v>
      </c>
      <c r="D327" s="165" t="s">
        <v>675</v>
      </c>
      <c r="E327" s="166" t="s">
        <v>13</v>
      </c>
      <c r="F327" s="167" t="s">
        <v>627</v>
      </c>
      <c r="G327" s="168">
        <v>26</v>
      </c>
      <c r="H327" s="168" t="str">
        <f t="shared" si="21"/>
        <v>X-1_26</v>
      </c>
      <c r="I327" s="32">
        <v>25</v>
      </c>
      <c r="J327" s="32" t="str">
        <f t="shared" si="22"/>
        <v>3107482364-326</v>
      </c>
      <c r="K327" s="32" t="str">
        <f t="shared" si="23"/>
        <v>3107482364-326</v>
      </c>
      <c r="L327" s="32">
        <v>2</v>
      </c>
      <c r="M327" s="174"/>
      <c r="N327" s="171"/>
      <c r="O327" s="171">
        <v>26</v>
      </c>
    </row>
    <row r="328" spans="1:15" x14ac:dyDescent="0.35">
      <c r="A328" s="1" t="str">
        <f t="shared" si="20"/>
        <v>2-26</v>
      </c>
      <c r="B328" s="26">
        <v>327</v>
      </c>
      <c r="C328" s="164" t="s">
        <v>676</v>
      </c>
      <c r="D328" s="165" t="s">
        <v>677</v>
      </c>
      <c r="E328" s="166" t="s">
        <v>13</v>
      </c>
      <c r="F328" s="175" t="s">
        <v>627</v>
      </c>
      <c r="G328" s="168">
        <v>27</v>
      </c>
      <c r="H328" s="168" t="str">
        <f t="shared" si="21"/>
        <v>X-1_27</v>
      </c>
      <c r="I328" s="32">
        <v>26</v>
      </c>
      <c r="J328" s="32" t="str">
        <f t="shared" si="22"/>
        <v>0106334828-327</v>
      </c>
      <c r="K328" s="32" t="str">
        <f t="shared" si="23"/>
        <v>0106334828-327</v>
      </c>
      <c r="L328" s="32">
        <v>2</v>
      </c>
      <c r="M328" s="174"/>
      <c r="N328" s="171"/>
      <c r="O328" s="171">
        <v>27</v>
      </c>
    </row>
    <row r="329" spans="1:15" x14ac:dyDescent="0.35">
      <c r="A329" s="1" t="str">
        <f t="shared" si="20"/>
        <v>2-27</v>
      </c>
      <c r="B329" s="26">
        <v>328</v>
      </c>
      <c r="C329" s="164" t="s">
        <v>678</v>
      </c>
      <c r="D329" s="165" t="s">
        <v>679</v>
      </c>
      <c r="E329" s="166" t="s">
        <v>23</v>
      </c>
      <c r="F329" s="175" t="s">
        <v>627</v>
      </c>
      <c r="G329" s="168">
        <v>28</v>
      </c>
      <c r="H329" s="168" t="str">
        <f t="shared" si="21"/>
        <v>X-1_28</v>
      </c>
      <c r="I329" s="32">
        <v>27</v>
      </c>
      <c r="J329" s="32" t="str">
        <f t="shared" si="22"/>
        <v>0099307838-328</v>
      </c>
      <c r="K329" s="32" t="str">
        <f t="shared" si="23"/>
        <v>0099307838-328</v>
      </c>
      <c r="L329" s="32">
        <v>2</v>
      </c>
      <c r="M329" s="174"/>
      <c r="N329" s="171"/>
      <c r="O329" s="171">
        <v>28</v>
      </c>
    </row>
    <row r="330" spans="1:15" x14ac:dyDescent="0.35">
      <c r="A330" s="1" t="str">
        <f t="shared" si="20"/>
        <v>2-28</v>
      </c>
      <c r="B330" s="26">
        <v>329</v>
      </c>
      <c r="C330" s="164">
        <v>3107118431</v>
      </c>
      <c r="D330" s="165" t="s">
        <v>680</v>
      </c>
      <c r="E330" s="166" t="s">
        <v>23</v>
      </c>
      <c r="F330" s="167" t="s">
        <v>627</v>
      </c>
      <c r="G330" s="168">
        <v>29</v>
      </c>
      <c r="H330" s="168" t="str">
        <f t="shared" si="21"/>
        <v>X-1_29</v>
      </c>
      <c r="I330" s="32">
        <v>28</v>
      </c>
      <c r="J330" s="32" t="str">
        <f t="shared" si="22"/>
        <v>3107118431-329</v>
      </c>
      <c r="K330" s="32" t="str">
        <f t="shared" si="23"/>
        <v>3107118431-329</v>
      </c>
      <c r="L330" s="32">
        <v>2</v>
      </c>
      <c r="M330" s="174"/>
      <c r="N330" s="171"/>
      <c r="O330" s="171">
        <v>29</v>
      </c>
    </row>
    <row r="331" spans="1:15" x14ac:dyDescent="0.35">
      <c r="A331" s="1" t="str">
        <f t="shared" si="20"/>
        <v>2-29</v>
      </c>
      <c r="B331" s="26">
        <v>330</v>
      </c>
      <c r="C331" s="164" t="s">
        <v>681</v>
      </c>
      <c r="D331" s="165" t="s">
        <v>682</v>
      </c>
      <c r="E331" s="166" t="s">
        <v>23</v>
      </c>
      <c r="F331" s="167" t="s">
        <v>627</v>
      </c>
      <c r="G331" s="168">
        <v>30</v>
      </c>
      <c r="H331" s="168" t="str">
        <f t="shared" si="21"/>
        <v>X-1_30</v>
      </c>
      <c r="I331" s="32">
        <v>29</v>
      </c>
      <c r="J331" s="32" t="str">
        <f t="shared" si="22"/>
        <v>0104097760-330</v>
      </c>
      <c r="K331" s="32" t="str">
        <f t="shared" si="23"/>
        <v>0104097760-330</v>
      </c>
      <c r="L331" s="32">
        <v>2</v>
      </c>
      <c r="M331" s="174"/>
      <c r="N331" s="171"/>
      <c r="O331" s="171">
        <v>30</v>
      </c>
    </row>
    <row r="332" spans="1:15" x14ac:dyDescent="0.35">
      <c r="A332" s="1" t="str">
        <f t="shared" si="20"/>
        <v>2-30</v>
      </c>
      <c r="B332" s="26">
        <v>331</v>
      </c>
      <c r="C332" s="164">
        <v>3106178512</v>
      </c>
      <c r="D332" s="165" t="s">
        <v>683</v>
      </c>
      <c r="E332" s="166" t="s">
        <v>13</v>
      </c>
      <c r="F332" s="167" t="s">
        <v>627</v>
      </c>
      <c r="G332" s="168">
        <v>31</v>
      </c>
      <c r="H332" s="168" t="str">
        <f t="shared" si="21"/>
        <v>X-1_31</v>
      </c>
      <c r="I332" s="32">
        <v>30</v>
      </c>
      <c r="J332" s="32" t="str">
        <f t="shared" si="22"/>
        <v>3106178512-331</v>
      </c>
      <c r="K332" s="32" t="str">
        <f t="shared" si="23"/>
        <v>3106178512-331</v>
      </c>
      <c r="L332" s="32">
        <v>2</v>
      </c>
      <c r="M332" s="174"/>
      <c r="N332" s="171"/>
      <c r="O332" s="171">
        <v>31</v>
      </c>
    </row>
    <row r="333" spans="1:15" x14ac:dyDescent="0.35">
      <c r="A333" s="1" t="str">
        <f t="shared" si="20"/>
        <v>2-31</v>
      </c>
      <c r="B333" s="26">
        <v>332</v>
      </c>
      <c r="C333" s="164" t="s">
        <v>684</v>
      </c>
      <c r="D333" s="165" t="s">
        <v>685</v>
      </c>
      <c r="E333" s="182" t="s">
        <v>13</v>
      </c>
      <c r="F333" s="167" t="s">
        <v>627</v>
      </c>
      <c r="G333" s="168">
        <v>32</v>
      </c>
      <c r="H333" s="168" t="str">
        <f t="shared" si="21"/>
        <v>X-1_32</v>
      </c>
      <c r="I333" s="32">
        <v>31</v>
      </c>
      <c r="J333" s="32" t="str">
        <f t="shared" si="22"/>
        <v>0094500832-332</v>
      </c>
      <c r="K333" s="32" t="str">
        <f t="shared" si="23"/>
        <v>0094500832-332</v>
      </c>
      <c r="L333" s="32">
        <v>2</v>
      </c>
      <c r="M333" s="174"/>
      <c r="N333" s="171"/>
      <c r="O333" s="171">
        <v>32</v>
      </c>
    </row>
    <row r="334" spans="1:15" x14ac:dyDescent="0.35">
      <c r="A334" s="1" t="str">
        <f t="shared" si="20"/>
        <v>2-32</v>
      </c>
      <c r="B334" s="26">
        <v>333</v>
      </c>
      <c r="C334" s="164" t="s">
        <v>686</v>
      </c>
      <c r="D334" s="165" t="s">
        <v>687</v>
      </c>
      <c r="E334" s="182" t="s">
        <v>23</v>
      </c>
      <c r="F334" s="167" t="s">
        <v>627</v>
      </c>
      <c r="G334" s="168">
        <v>33</v>
      </c>
      <c r="H334" s="168" t="str">
        <f t="shared" si="21"/>
        <v>X-1_33</v>
      </c>
      <c r="I334" s="32">
        <v>32</v>
      </c>
      <c r="J334" s="32" t="str">
        <f t="shared" si="22"/>
        <v>0094823531-333</v>
      </c>
      <c r="K334" s="183" t="str">
        <f t="shared" si="23"/>
        <v>0094823531-333</v>
      </c>
      <c r="L334" s="32">
        <v>2</v>
      </c>
      <c r="M334" s="174"/>
      <c r="N334" s="171"/>
      <c r="O334" s="171">
        <v>33</v>
      </c>
    </row>
    <row r="335" spans="1:15" x14ac:dyDescent="0.35">
      <c r="A335" s="1" t="str">
        <f t="shared" si="20"/>
        <v>2-33</v>
      </c>
      <c r="B335" s="26">
        <v>334</v>
      </c>
      <c r="C335" s="164" t="s">
        <v>688</v>
      </c>
      <c r="D335" s="165" t="s">
        <v>689</v>
      </c>
      <c r="E335" s="182" t="s">
        <v>13</v>
      </c>
      <c r="F335" s="167" t="s">
        <v>627</v>
      </c>
      <c r="G335" s="168">
        <v>34</v>
      </c>
      <c r="H335" s="168" t="str">
        <f t="shared" si="21"/>
        <v>X-1_34</v>
      </c>
      <c r="I335" s="32">
        <v>33</v>
      </c>
      <c r="J335" s="32" t="str">
        <f t="shared" si="22"/>
        <v>0101250233-334</v>
      </c>
      <c r="K335" s="183" t="str">
        <f t="shared" si="23"/>
        <v>0101250233-334</v>
      </c>
      <c r="L335" s="32">
        <v>2</v>
      </c>
      <c r="M335" s="174"/>
      <c r="N335" s="171"/>
      <c r="O335" s="171">
        <v>34</v>
      </c>
    </row>
    <row r="336" spans="1:15" x14ac:dyDescent="0.35">
      <c r="A336" s="1" t="str">
        <f t="shared" si="20"/>
        <v>3-17</v>
      </c>
      <c r="B336" s="26">
        <v>335</v>
      </c>
      <c r="C336" s="184" t="s">
        <v>690</v>
      </c>
      <c r="D336" s="185" t="s">
        <v>691</v>
      </c>
      <c r="E336" s="186" t="s">
        <v>23</v>
      </c>
      <c r="F336" s="167" t="s">
        <v>627</v>
      </c>
      <c r="G336" s="168">
        <v>35</v>
      </c>
      <c r="H336" s="168" t="str">
        <f t="shared" si="21"/>
        <v>X-1_35</v>
      </c>
      <c r="I336" s="183">
        <v>17</v>
      </c>
      <c r="J336" s="183" t="str">
        <f t="shared" si="22"/>
        <v>0109962670-335</v>
      </c>
      <c r="K336" s="183" t="str">
        <f t="shared" si="23"/>
        <v>0109962670-335</v>
      </c>
      <c r="L336" s="183">
        <v>3</v>
      </c>
      <c r="M336" s="174"/>
      <c r="N336" s="171"/>
      <c r="O336" s="171">
        <v>35</v>
      </c>
    </row>
    <row r="337" spans="1:16" x14ac:dyDescent="0.35">
      <c r="A337" s="1" t="str">
        <f t="shared" si="20"/>
        <v>3-18</v>
      </c>
      <c r="B337" s="26">
        <v>336</v>
      </c>
      <c r="C337" s="27" t="s">
        <v>692</v>
      </c>
      <c r="D337" s="187" t="s">
        <v>693</v>
      </c>
      <c r="E337" s="188" t="s">
        <v>23</v>
      </c>
      <c r="F337" s="189" t="s">
        <v>694</v>
      </c>
      <c r="G337" s="190">
        <v>1</v>
      </c>
      <c r="H337" s="190" t="str">
        <f t="shared" si="21"/>
        <v>X-2_1</v>
      </c>
      <c r="I337" s="183">
        <v>18</v>
      </c>
      <c r="J337" s="183" t="str">
        <f t="shared" si="22"/>
        <v>0105591124-336</v>
      </c>
      <c r="K337" s="183" t="str">
        <f t="shared" si="23"/>
        <v>0105591124-336</v>
      </c>
      <c r="L337" s="183">
        <v>3</v>
      </c>
      <c r="M337" s="191"/>
      <c r="N337" s="192"/>
      <c r="O337" s="192">
        <v>36</v>
      </c>
      <c r="P337" s="193"/>
    </row>
    <row r="338" spans="1:16" x14ac:dyDescent="0.35">
      <c r="A338" s="1" t="str">
        <f t="shared" si="20"/>
        <v>3-19</v>
      </c>
      <c r="B338" s="26">
        <v>337</v>
      </c>
      <c r="C338" s="27" t="s">
        <v>695</v>
      </c>
      <c r="D338" s="187" t="s">
        <v>696</v>
      </c>
      <c r="E338" s="188" t="s">
        <v>13</v>
      </c>
      <c r="F338" s="189" t="s">
        <v>694</v>
      </c>
      <c r="G338" s="190">
        <v>2</v>
      </c>
      <c r="H338" s="190" t="str">
        <f t="shared" si="21"/>
        <v>X-2_2</v>
      </c>
      <c r="I338" s="183">
        <v>19</v>
      </c>
      <c r="J338" s="183" t="str">
        <f t="shared" si="22"/>
        <v>0109495648-337</v>
      </c>
      <c r="K338" s="183" t="str">
        <f t="shared" si="23"/>
        <v>0109495648-337</v>
      </c>
      <c r="L338" s="183">
        <v>3</v>
      </c>
      <c r="M338" s="191"/>
      <c r="N338" s="192"/>
      <c r="O338" s="171">
        <v>37</v>
      </c>
      <c r="P338" s="193"/>
    </row>
    <row r="339" spans="1:16" x14ac:dyDescent="0.35">
      <c r="A339" s="1" t="str">
        <f t="shared" si="20"/>
        <v>3-20</v>
      </c>
      <c r="B339" s="26">
        <v>338</v>
      </c>
      <c r="C339" s="27" t="s">
        <v>697</v>
      </c>
      <c r="D339" s="187" t="s">
        <v>698</v>
      </c>
      <c r="E339" s="188" t="s">
        <v>13</v>
      </c>
      <c r="F339" s="189" t="s">
        <v>694</v>
      </c>
      <c r="G339" s="190">
        <v>3</v>
      </c>
      <c r="H339" s="190" t="str">
        <f t="shared" si="21"/>
        <v>X-2_3</v>
      </c>
      <c r="I339" s="183">
        <v>20</v>
      </c>
      <c r="J339" s="183" t="str">
        <f t="shared" si="22"/>
        <v>0095226835-338</v>
      </c>
      <c r="K339" s="183" t="str">
        <f t="shared" si="23"/>
        <v>0095226835-338</v>
      </c>
      <c r="L339" s="183">
        <v>3</v>
      </c>
      <c r="M339" s="191"/>
      <c r="N339" s="192"/>
      <c r="O339" s="192">
        <v>38</v>
      </c>
      <c r="P339" s="193"/>
    </row>
    <row r="340" spans="1:16" x14ac:dyDescent="0.35">
      <c r="A340" s="1" t="str">
        <f t="shared" si="20"/>
        <v>3-21</v>
      </c>
      <c r="B340" s="26">
        <v>339</v>
      </c>
      <c r="C340" s="27" t="s">
        <v>699</v>
      </c>
      <c r="D340" s="187" t="s">
        <v>700</v>
      </c>
      <c r="E340" s="188" t="s">
        <v>13</v>
      </c>
      <c r="F340" s="189" t="s">
        <v>694</v>
      </c>
      <c r="G340" s="190">
        <v>4</v>
      </c>
      <c r="H340" s="190" t="str">
        <f t="shared" si="21"/>
        <v>X-2_4</v>
      </c>
      <c r="I340" s="183">
        <v>21</v>
      </c>
      <c r="J340" s="183" t="str">
        <f t="shared" si="22"/>
        <v>0094474612-339</v>
      </c>
      <c r="K340" s="183" t="str">
        <f t="shared" si="23"/>
        <v>0094474612-339</v>
      </c>
      <c r="L340" s="183">
        <v>3</v>
      </c>
      <c r="M340" s="191"/>
      <c r="N340" s="192"/>
      <c r="O340" s="171">
        <v>39</v>
      </c>
      <c r="P340" s="193"/>
    </row>
    <row r="341" spans="1:16" x14ac:dyDescent="0.35">
      <c r="A341" s="1" t="str">
        <f t="shared" si="20"/>
        <v>3-22</v>
      </c>
      <c r="B341" s="26">
        <v>340</v>
      </c>
      <c r="C341" s="27" t="s">
        <v>701</v>
      </c>
      <c r="D341" s="187" t="s">
        <v>702</v>
      </c>
      <c r="E341" s="188" t="s">
        <v>13</v>
      </c>
      <c r="F341" s="189" t="s">
        <v>694</v>
      </c>
      <c r="G341" s="190">
        <v>5</v>
      </c>
      <c r="H341" s="190" t="str">
        <f t="shared" si="21"/>
        <v>X-2_5</v>
      </c>
      <c r="I341" s="183">
        <v>22</v>
      </c>
      <c r="J341" s="183" t="str">
        <f t="shared" si="22"/>
        <v>0099267133-340</v>
      </c>
      <c r="K341" s="183" t="str">
        <f t="shared" si="23"/>
        <v>0099267133-340</v>
      </c>
      <c r="L341" s="183">
        <v>3</v>
      </c>
      <c r="M341" s="191"/>
      <c r="N341" s="192"/>
      <c r="O341" s="192">
        <v>40</v>
      </c>
      <c r="P341" s="193"/>
    </row>
    <row r="342" spans="1:16" x14ac:dyDescent="0.35">
      <c r="A342" s="1" t="str">
        <f t="shared" si="20"/>
        <v>3-23</v>
      </c>
      <c r="B342" s="26">
        <v>341</v>
      </c>
      <c r="C342" s="27" t="s">
        <v>703</v>
      </c>
      <c r="D342" s="187" t="s">
        <v>704</v>
      </c>
      <c r="E342" s="188" t="s">
        <v>23</v>
      </c>
      <c r="F342" s="189" t="s">
        <v>694</v>
      </c>
      <c r="G342" s="190">
        <v>6</v>
      </c>
      <c r="H342" s="190" t="str">
        <f t="shared" si="21"/>
        <v>X-2_6</v>
      </c>
      <c r="I342" s="183">
        <v>23</v>
      </c>
      <c r="J342" s="183" t="str">
        <f t="shared" si="22"/>
        <v>0094032685-341</v>
      </c>
      <c r="K342" s="183" t="str">
        <f t="shared" si="23"/>
        <v>0094032685-341</v>
      </c>
      <c r="L342" s="183">
        <v>3</v>
      </c>
      <c r="M342" s="191"/>
      <c r="N342" s="192"/>
      <c r="O342" s="171">
        <v>41</v>
      </c>
      <c r="P342" s="193"/>
    </row>
    <row r="343" spans="1:16" x14ac:dyDescent="0.35">
      <c r="A343" s="1" t="str">
        <f t="shared" si="20"/>
        <v>3-24</v>
      </c>
      <c r="B343" s="26">
        <v>342</v>
      </c>
      <c r="C343" s="27" t="s">
        <v>705</v>
      </c>
      <c r="D343" s="187" t="s">
        <v>706</v>
      </c>
      <c r="E343" s="188" t="s">
        <v>13</v>
      </c>
      <c r="F343" s="189" t="s">
        <v>694</v>
      </c>
      <c r="G343" s="190">
        <v>7</v>
      </c>
      <c r="H343" s="190" t="str">
        <f t="shared" si="21"/>
        <v>X-2_7</v>
      </c>
      <c r="I343" s="183">
        <v>24</v>
      </c>
      <c r="J343" s="183" t="str">
        <f t="shared" si="22"/>
        <v>0107791558-342</v>
      </c>
      <c r="K343" s="183" t="str">
        <f t="shared" si="23"/>
        <v>0107791558-342</v>
      </c>
      <c r="L343" s="183">
        <v>3</v>
      </c>
      <c r="M343" s="191"/>
      <c r="N343" s="192"/>
      <c r="O343" s="192">
        <v>42</v>
      </c>
      <c r="P343" s="193"/>
    </row>
    <row r="344" spans="1:16" x14ac:dyDescent="0.35">
      <c r="A344" s="1" t="str">
        <f t="shared" si="20"/>
        <v>3-25</v>
      </c>
      <c r="B344" s="26">
        <v>343</v>
      </c>
      <c r="C344" s="27">
        <v>3093305208</v>
      </c>
      <c r="D344" s="187" t="s">
        <v>707</v>
      </c>
      <c r="E344" s="188" t="s">
        <v>23</v>
      </c>
      <c r="F344" s="189" t="s">
        <v>694</v>
      </c>
      <c r="G344" s="190">
        <v>8</v>
      </c>
      <c r="H344" s="190" t="str">
        <f t="shared" si="21"/>
        <v>X-2_8</v>
      </c>
      <c r="I344" s="183">
        <v>25</v>
      </c>
      <c r="J344" s="183" t="str">
        <f t="shared" si="22"/>
        <v>3093305208-343</v>
      </c>
      <c r="K344" s="183" t="str">
        <f t="shared" si="23"/>
        <v>3093305208-343</v>
      </c>
      <c r="L344" s="183">
        <v>3</v>
      </c>
      <c r="M344" s="191"/>
      <c r="N344" s="192"/>
      <c r="O344" s="171">
        <v>43</v>
      </c>
      <c r="P344" s="193"/>
    </row>
    <row r="345" spans="1:16" x14ac:dyDescent="0.35">
      <c r="A345" s="1" t="str">
        <f t="shared" si="20"/>
        <v>3-26</v>
      </c>
      <c r="B345" s="26">
        <v>344</v>
      </c>
      <c r="C345" s="27" t="s">
        <v>708</v>
      </c>
      <c r="D345" s="187" t="s">
        <v>709</v>
      </c>
      <c r="E345" s="188" t="s">
        <v>23</v>
      </c>
      <c r="F345" s="189" t="s">
        <v>694</v>
      </c>
      <c r="G345" s="190">
        <v>9</v>
      </c>
      <c r="H345" s="190" t="str">
        <f t="shared" si="21"/>
        <v>X-2_9</v>
      </c>
      <c r="I345" s="183">
        <v>26</v>
      </c>
      <c r="J345" s="183" t="str">
        <f t="shared" si="22"/>
        <v>0106560209-344</v>
      </c>
      <c r="K345" s="183" t="str">
        <f t="shared" si="23"/>
        <v>0106560209-344</v>
      </c>
      <c r="L345" s="183">
        <v>3</v>
      </c>
      <c r="M345" s="191"/>
      <c r="N345" s="192"/>
      <c r="O345" s="192">
        <v>44</v>
      </c>
      <c r="P345" s="193"/>
    </row>
    <row r="346" spans="1:16" x14ac:dyDescent="0.35">
      <c r="A346" s="1" t="str">
        <f t="shared" si="20"/>
        <v>3-27</v>
      </c>
      <c r="B346" s="26">
        <v>345</v>
      </c>
      <c r="C346" s="27" t="s">
        <v>710</v>
      </c>
      <c r="D346" s="187" t="s">
        <v>711</v>
      </c>
      <c r="E346" s="188" t="s">
        <v>13</v>
      </c>
      <c r="F346" s="189" t="s">
        <v>694</v>
      </c>
      <c r="G346" s="190">
        <v>10</v>
      </c>
      <c r="H346" s="190" t="str">
        <f t="shared" si="21"/>
        <v>X-2_10</v>
      </c>
      <c r="I346" s="183">
        <v>27</v>
      </c>
      <c r="J346" s="183" t="str">
        <f t="shared" si="22"/>
        <v>0101299949-345</v>
      </c>
      <c r="K346" s="183" t="str">
        <f t="shared" si="23"/>
        <v>0101299949-345</v>
      </c>
      <c r="L346" s="183">
        <v>3</v>
      </c>
      <c r="M346" s="191"/>
      <c r="N346" s="192"/>
      <c r="O346" s="171">
        <v>45</v>
      </c>
      <c r="P346" s="193"/>
    </row>
    <row r="347" spans="1:16" x14ac:dyDescent="0.35">
      <c r="A347" s="1" t="str">
        <f t="shared" si="20"/>
        <v>3-28</v>
      </c>
      <c r="B347" s="26">
        <v>346</v>
      </c>
      <c r="C347" s="27" t="s">
        <v>712</v>
      </c>
      <c r="D347" s="187" t="s">
        <v>713</v>
      </c>
      <c r="E347" s="188" t="s">
        <v>13</v>
      </c>
      <c r="F347" s="189" t="s">
        <v>694</v>
      </c>
      <c r="G347" s="190">
        <v>11</v>
      </c>
      <c r="H347" s="190" t="str">
        <f t="shared" si="21"/>
        <v>X-2_11</v>
      </c>
      <c r="I347" s="183">
        <v>28</v>
      </c>
      <c r="J347" s="183" t="str">
        <f t="shared" si="22"/>
        <v>0095081147-346</v>
      </c>
      <c r="K347" s="183"/>
      <c r="L347" s="183">
        <v>3</v>
      </c>
      <c r="M347" s="191"/>
      <c r="N347" s="192"/>
      <c r="O347" s="192">
        <v>46</v>
      </c>
      <c r="P347" s="193"/>
    </row>
    <row r="348" spans="1:16" x14ac:dyDescent="0.35">
      <c r="A348" s="1" t="str">
        <f t="shared" si="20"/>
        <v>3-29</v>
      </c>
      <c r="B348" s="26">
        <v>347</v>
      </c>
      <c r="C348" s="27" t="s">
        <v>714</v>
      </c>
      <c r="D348" s="187" t="s">
        <v>715</v>
      </c>
      <c r="E348" s="188" t="s">
        <v>13</v>
      </c>
      <c r="F348" s="189" t="s">
        <v>694</v>
      </c>
      <c r="G348" s="190">
        <v>12</v>
      </c>
      <c r="H348" s="190" t="str">
        <f t="shared" si="21"/>
        <v>X-2_12</v>
      </c>
      <c r="I348" s="183">
        <v>29</v>
      </c>
      <c r="J348" s="183" t="str">
        <f t="shared" si="22"/>
        <v>0109855710-347</v>
      </c>
      <c r="K348" s="183"/>
      <c r="L348" s="183">
        <v>3</v>
      </c>
      <c r="M348" s="191"/>
      <c r="N348" s="192"/>
      <c r="O348" s="171">
        <v>47</v>
      </c>
      <c r="P348" s="193"/>
    </row>
    <row r="349" spans="1:16" x14ac:dyDescent="0.35">
      <c r="A349" s="1" t="str">
        <f t="shared" si="20"/>
        <v>3-30</v>
      </c>
      <c r="B349" s="26">
        <v>348</v>
      </c>
      <c r="C349" s="27" t="s">
        <v>716</v>
      </c>
      <c r="D349" s="187" t="s">
        <v>717</v>
      </c>
      <c r="E349" s="188" t="s">
        <v>23</v>
      </c>
      <c r="F349" s="189" t="s">
        <v>694</v>
      </c>
      <c r="G349" s="190">
        <v>13</v>
      </c>
      <c r="H349" s="190" t="str">
        <f t="shared" si="21"/>
        <v>X-2_13</v>
      </c>
      <c r="I349" s="183">
        <v>30</v>
      </c>
      <c r="J349" s="183" t="str">
        <f t="shared" si="22"/>
        <v>0109599687-348</v>
      </c>
      <c r="K349" s="183"/>
      <c r="L349" s="183">
        <v>3</v>
      </c>
      <c r="M349" s="191"/>
      <c r="N349" s="192"/>
      <c r="O349" s="192">
        <v>48</v>
      </c>
      <c r="P349" s="193"/>
    </row>
    <row r="350" spans="1:16" x14ac:dyDescent="0.35">
      <c r="A350" s="1" t="str">
        <f t="shared" si="20"/>
        <v>3-31</v>
      </c>
      <c r="B350" s="26">
        <v>349</v>
      </c>
      <c r="C350" s="27" t="s">
        <v>718</v>
      </c>
      <c r="D350" s="187" t="s">
        <v>719</v>
      </c>
      <c r="E350" s="188" t="s">
        <v>13</v>
      </c>
      <c r="F350" s="189" t="s">
        <v>694</v>
      </c>
      <c r="G350" s="190">
        <v>14</v>
      </c>
      <c r="H350" s="190" t="str">
        <f t="shared" si="21"/>
        <v>X-2_14</v>
      </c>
      <c r="I350" s="183">
        <v>31</v>
      </c>
      <c r="J350" s="183" t="str">
        <f t="shared" si="22"/>
        <v>0108729495-349</v>
      </c>
      <c r="K350" s="190"/>
      <c r="L350" s="183">
        <v>3</v>
      </c>
      <c r="M350" s="191"/>
      <c r="N350" s="192"/>
      <c r="O350" s="171">
        <v>49</v>
      </c>
      <c r="P350" s="193"/>
    </row>
    <row r="351" spans="1:16" x14ac:dyDescent="0.35">
      <c r="A351" s="1" t="str">
        <f t="shared" si="20"/>
        <v>3-32</v>
      </c>
      <c r="B351" s="26">
        <v>350</v>
      </c>
      <c r="C351" s="27" t="s">
        <v>720</v>
      </c>
      <c r="D351" s="187" t="s">
        <v>721</v>
      </c>
      <c r="E351" s="188" t="s">
        <v>13</v>
      </c>
      <c r="F351" s="189" t="s">
        <v>694</v>
      </c>
      <c r="G351" s="190">
        <v>15</v>
      </c>
      <c r="H351" s="190" t="str">
        <f t="shared" si="21"/>
        <v>X-2_15</v>
      </c>
      <c r="I351" s="183">
        <v>32</v>
      </c>
      <c r="J351" s="183" t="str">
        <f t="shared" si="22"/>
        <v>0097809743-350</v>
      </c>
      <c r="K351" s="190"/>
      <c r="L351" s="183">
        <v>3</v>
      </c>
      <c r="M351" s="191"/>
      <c r="N351" s="192"/>
      <c r="O351" s="192">
        <v>50</v>
      </c>
      <c r="P351" s="193"/>
    </row>
    <row r="352" spans="1:16" x14ac:dyDescent="0.35">
      <c r="A352" s="1" t="str">
        <f t="shared" si="20"/>
        <v>3-33</v>
      </c>
      <c r="B352" s="26">
        <v>351</v>
      </c>
      <c r="C352" s="27" t="s">
        <v>722</v>
      </c>
      <c r="D352" s="187" t="s">
        <v>723</v>
      </c>
      <c r="E352" s="188" t="s">
        <v>13</v>
      </c>
      <c r="F352" s="189" t="s">
        <v>694</v>
      </c>
      <c r="G352" s="190">
        <v>16</v>
      </c>
      <c r="H352" s="190" t="str">
        <f t="shared" si="21"/>
        <v>X-2_16</v>
      </c>
      <c r="I352" s="183">
        <v>33</v>
      </c>
      <c r="J352" s="183" t="str">
        <f t="shared" si="22"/>
        <v>0103690080-351</v>
      </c>
      <c r="K352" s="190"/>
      <c r="L352" s="183">
        <v>3</v>
      </c>
      <c r="M352" s="191"/>
      <c r="N352" s="192"/>
      <c r="O352" s="171">
        <v>51</v>
      </c>
      <c r="P352" s="193"/>
    </row>
    <row r="353" spans="1:16" x14ac:dyDescent="0.35">
      <c r="A353" s="1" t="str">
        <f t="shared" si="20"/>
        <v>4-17</v>
      </c>
      <c r="B353" s="26">
        <v>352</v>
      </c>
      <c r="C353" s="27" t="s">
        <v>724</v>
      </c>
      <c r="D353" s="187" t="s">
        <v>725</v>
      </c>
      <c r="E353" s="188" t="s">
        <v>23</v>
      </c>
      <c r="F353" s="189" t="s">
        <v>694</v>
      </c>
      <c r="G353" s="190">
        <v>17</v>
      </c>
      <c r="H353" s="190" t="str">
        <f t="shared" si="21"/>
        <v>X-2_17</v>
      </c>
      <c r="I353" s="32">
        <v>17</v>
      </c>
      <c r="J353" s="32" t="str">
        <f t="shared" si="22"/>
        <v>0102013790-352</v>
      </c>
      <c r="K353" s="190"/>
      <c r="L353" s="32">
        <v>4</v>
      </c>
      <c r="M353" s="191"/>
      <c r="N353" s="192"/>
      <c r="O353" s="192">
        <v>52</v>
      </c>
      <c r="P353" s="193"/>
    </row>
    <row r="354" spans="1:16" x14ac:dyDescent="0.35">
      <c r="A354" s="1" t="str">
        <f t="shared" si="20"/>
        <v>4-18</v>
      </c>
      <c r="B354" s="26">
        <v>353</v>
      </c>
      <c r="C354" s="27" t="s">
        <v>726</v>
      </c>
      <c r="D354" s="187" t="s">
        <v>727</v>
      </c>
      <c r="E354" s="188" t="s">
        <v>23</v>
      </c>
      <c r="F354" s="189" t="s">
        <v>694</v>
      </c>
      <c r="G354" s="190">
        <v>18</v>
      </c>
      <c r="H354" s="190" t="str">
        <f t="shared" si="21"/>
        <v>X-2_18</v>
      </c>
      <c r="I354" s="32">
        <v>18</v>
      </c>
      <c r="J354" s="32" t="str">
        <f t="shared" si="22"/>
        <v>0102281251-353</v>
      </c>
      <c r="K354" s="190"/>
      <c r="L354" s="32">
        <v>4</v>
      </c>
      <c r="M354" s="191"/>
      <c r="N354" s="192"/>
      <c r="O354" s="171">
        <v>53</v>
      </c>
      <c r="P354" s="193"/>
    </row>
    <row r="355" spans="1:16" x14ac:dyDescent="0.35">
      <c r="A355" s="1" t="str">
        <f t="shared" si="20"/>
        <v>4-19</v>
      </c>
      <c r="B355" s="26">
        <v>354</v>
      </c>
      <c r="C355" s="27">
        <v>3101470717</v>
      </c>
      <c r="D355" s="187" t="s">
        <v>728</v>
      </c>
      <c r="E355" s="188" t="s">
        <v>23</v>
      </c>
      <c r="F355" s="189" t="s">
        <v>694</v>
      </c>
      <c r="G355" s="190">
        <v>19</v>
      </c>
      <c r="H355" s="190" t="str">
        <f t="shared" si="21"/>
        <v>X-2_19</v>
      </c>
      <c r="I355" s="32">
        <v>19</v>
      </c>
      <c r="J355" s="32" t="str">
        <f t="shared" si="22"/>
        <v>3101470717-354</v>
      </c>
      <c r="K355" s="190"/>
      <c r="L355" s="32">
        <v>4</v>
      </c>
      <c r="M355" s="191"/>
      <c r="N355" s="192"/>
      <c r="O355" s="192">
        <v>54</v>
      </c>
      <c r="P355" s="193"/>
    </row>
    <row r="356" spans="1:16" x14ac:dyDescent="0.35">
      <c r="A356" s="1" t="str">
        <f t="shared" si="20"/>
        <v>4-20</v>
      </c>
      <c r="B356" s="26">
        <v>355</v>
      </c>
      <c r="C356" s="27" t="s">
        <v>729</v>
      </c>
      <c r="D356" s="187" t="s">
        <v>730</v>
      </c>
      <c r="E356" s="188" t="s">
        <v>23</v>
      </c>
      <c r="F356" s="194" t="s">
        <v>694</v>
      </c>
      <c r="G356" s="190">
        <v>20</v>
      </c>
      <c r="H356" s="195" t="str">
        <f t="shared" si="21"/>
        <v>X-2_20</v>
      </c>
      <c r="I356" s="32">
        <v>20</v>
      </c>
      <c r="J356" s="32" t="str">
        <f t="shared" si="22"/>
        <v>0094474676-355</v>
      </c>
      <c r="K356" s="190"/>
      <c r="L356" s="32">
        <v>4</v>
      </c>
      <c r="M356" s="191"/>
      <c r="N356" s="192"/>
      <c r="O356" s="171">
        <v>55</v>
      </c>
      <c r="P356" s="193"/>
    </row>
    <row r="357" spans="1:16" x14ac:dyDescent="0.35">
      <c r="A357" s="1" t="str">
        <f t="shared" si="20"/>
        <v>4-21</v>
      </c>
      <c r="B357" s="26">
        <v>356</v>
      </c>
      <c r="C357" s="27" t="s">
        <v>731</v>
      </c>
      <c r="D357" s="187" t="s">
        <v>732</v>
      </c>
      <c r="E357" s="188" t="s">
        <v>23</v>
      </c>
      <c r="F357" s="194" t="s">
        <v>694</v>
      </c>
      <c r="G357" s="190">
        <v>21</v>
      </c>
      <c r="H357" s="195" t="str">
        <f t="shared" si="21"/>
        <v>X-2_21</v>
      </c>
      <c r="I357" s="32">
        <v>21</v>
      </c>
      <c r="J357" s="32" t="str">
        <f t="shared" si="22"/>
        <v>0104682588-356</v>
      </c>
      <c r="K357" s="190"/>
      <c r="L357" s="32">
        <v>4</v>
      </c>
      <c r="M357" s="191"/>
      <c r="N357" s="192"/>
      <c r="O357" s="192">
        <v>56</v>
      </c>
      <c r="P357" s="193"/>
    </row>
    <row r="358" spans="1:16" x14ac:dyDescent="0.35">
      <c r="A358" s="1" t="str">
        <f t="shared" si="20"/>
        <v>4-22</v>
      </c>
      <c r="B358" s="26">
        <v>357</v>
      </c>
      <c r="C358" s="27" t="s">
        <v>733</v>
      </c>
      <c r="D358" s="187" t="s">
        <v>734</v>
      </c>
      <c r="E358" s="188" t="s">
        <v>23</v>
      </c>
      <c r="F358" s="194" t="s">
        <v>694</v>
      </c>
      <c r="G358" s="190">
        <v>22</v>
      </c>
      <c r="H358" s="195" t="str">
        <f t="shared" si="21"/>
        <v>X-2_22</v>
      </c>
      <c r="I358" s="32">
        <v>22</v>
      </c>
      <c r="J358" s="32" t="str">
        <f t="shared" si="22"/>
        <v>0103256125-357</v>
      </c>
      <c r="K358" s="190"/>
      <c r="L358" s="32">
        <v>4</v>
      </c>
      <c r="M358" s="191"/>
      <c r="N358" s="192"/>
      <c r="O358" s="171">
        <v>57</v>
      </c>
      <c r="P358" s="193"/>
    </row>
    <row r="359" spans="1:16" x14ac:dyDescent="0.35">
      <c r="A359" s="1" t="str">
        <f t="shared" si="20"/>
        <v>4-23</v>
      </c>
      <c r="B359" s="26">
        <v>358</v>
      </c>
      <c r="C359" s="27">
        <v>3097003390</v>
      </c>
      <c r="D359" s="187" t="s">
        <v>735</v>
      </c>
      <c r="E359" s="188" t="s">
        <v>13</v>
      </c>
      <c r="F359" s="194" t="s">
        <v>694</v>
      </c>
      <c r="G359" s="190">
        <v>23</v>
      </c>
      <c r="H359" s="195" t="str">
        <f t="shared" si="21"/>
        <v>X-2_23</v>
      </c>
      <c r="I359" s="32">
        <v>23</v>
      </c>
      <c r="J359" s="32" t="str">
        <f t="shared" si="22"/>
        <v>3097003390-358</v>
      </c>
      <c r="K359" s="190"/>
      <c r="L359" s="32">
        <v>4</v>
      </c>
      <c r="M359" s="191"/>
      <c r="N359" s="192"/>
      <c r="O359" s="192">
        <v>58</v>
      </c>
      <c r="P359" s="193"/>
    </row>
    <row r="360" spans="1:16" x14ac:dyDescent="0.35">
      <c r="A360" s="1" t="str">
        <f t="shared" si="20"/>
        <v>4-24</v>
      </c>
      <c r="B360" s="26">
        <v>359</v>
      </c>
      <c r="C360" s="37" t="s">
        <v>736</v>
      </c>
      <c r="D360" s="196" t="s">
        <v>737</v>
      </c>
      <c r="E360" s="197" t="s">
        <v>13</v>
      </c>
      <c r="F360" s="189" t="s">
        <v>694</v>
      </c>
      <c r="G360" s="190">
        <v>24</v>
      </c>
      <c r="H360" s="190" t="str">
        <f t="shared" si="21"/>
        <v>X-2_24</v>
      </c>
      <c r="I360" s="32">
        <v>24</v>
      </c>
      <c r="J360" s="32" t="str">
        <f t="shared" si="22"/>
        <v>0107340915-359</v>
      </c>
      <c r="K360" s="190"/>
      <c r="L360" s="32">
        <v>4</v>
      </c>
      <c r="M360" s="191"/>
      <c r="N360" s="192"/>
      <c r="O360" s="171">
        <v>59</v>
      </c>
      <c r="P360" s="193"/>
    </row>
    <row r="361" spans="1:16" x14ac:dyDescent="0.35">
      <c r="A361" s="1" t="str">
        <f t="shared" si="20"/>
        <v>4-25</v>
      </c>
      <c r="B361" s="26">
        <v>360</v>
      </c>
      <c r="C361" s="27" t="s">
        <v>738</v>
      </c>
      <c r="D361" s="187" t="s">
        <v>739</v>
      </c>
      <c r="E361" s="188" t="s">
        <v>13</v>
      </c>
      <c r="F361" s="189" t="s">
        <v>694</v>
      </c>
      <c r="G361" s="190">
        <v>25</v>
      </c>
      <c r="H361" s="190" t="str">
        <f t="shared" si="21"/>
        <v>X-2_25</v>
      </c>
      <c r="I361" s="32">
        <v>25</v>
      </c>
      <c r="J361" s="32" t="str">
        <f t="shared" si="22"/>
        <v>0108693334-360</v>
      </c>
      <c r="K361" s="190"/>
      <c r="L361" s="32">
        <v>4</v>
      </c>
      <c r="M361" s="191"/>
      <c r="N361" s="192"/>
      <c r="O361" s="192">
        <v>60</v>
      </c>
      <c r="P361" s="193"/>
    </row>
    <row r="362" spans="1:16" x14ac:dyDescent="0.35">
      <c r="A362" s="1" t="str">
        <f t="shared" si="20"/>
        <v>4-26</v>
      </c>
      <c r="B362" s="26">
        <v>361</v>
      </c>
      <c r="C362" s="27">
        <v>3093460040</v>
      </c>
      <c r="D362" s="187" t="s">
        <v>740</v>
      </c>
      <c r="E362" s="188" t="s">
        <v>13</v>
      </c>
      <c r="F362" s="189" t="s">
        <v>694</v>
      </c>
      <c r="G362" s="190">
        <v>26</v>
      </c>
      <c r="H362" s="190" t="str">
        <f t="shared" si="21"/>
        <v>X-2_26</v>
      </c>
      <c r="I362" s="32">
        <v>26</v>
      </c>
      <c r="J362" s="32" t="str">
        <f t="shared" si="22"/>
        <v>3093460040-361</v>
      </c>
      <c r="K362" s="190"/>
      <c r="L362" s="32">
        <v>4</v>
      </c>
      <c r="M362" s="191"/>
      <c r="N362" s="192"/>
      <c r="O362" s="171">
        <v>61</v>
      </c>
      <c r="P362" s="193"/>
    </row>
    <row r="363" spans="1:16" x14ac:dyDescent="0.35">
      <c r="A363" s="1" t="str">
        <f t="shared" si="20"/>
        <v>4-27</v>
      </c>
      <c r="B363" s="26">
        <v>362</v>
      </c>
      <c r="C363" s="27">
        <v>3097319262</v>
      </c>
      <c r="D363" s="187" t="s">
        <v>741</v>
      </c>
      <c r="E363" s="188" t="s">
        <v>13</v>
      </c>
      <c r="F363" s="189" t="s">
        <v>694</v>
      </c>
      <c r="G363" s="190">
        <v>27</v>
      </c>
      <c r="H363" s="190" t="str">
        <f t="shared" si="21"/>
        <v>X-2_27</v>
      </c>
      <c r="I363" s="32">
        <v>27</v>
      </c>
      <c r="J363" s="32" t="str">
        <f t="shared" si="22"/>
        <v>3097319262-362</v>
      </c>
      <c r="K363" s="190"/>
      <c r="L363" s="32">
        <v>4</v>
      </c>
      <c r="M363" s="191"/>
      <c r="N363" s="192"/>
      <c r="O363" s="192">
        <v>62</v>
      </c>
      <c r="P363" s="193"/>
    </row>
    <row r="364" spans="1:16" x14ac:dyDescent="0.35">
      <c r="A364" s="1" t="str">
        <f t="shared" si="20"/>
        <v>4-28</v>
      </c>
      <c r="B364" s="26">
        <v>363</v>
      </c>
      <c r="C364" s="27">
        <v>3109142733</v>
      </c>
      <c r="D364" s="187" t="s">
        <v>742</v>
      </c>
      <c r="E364" s="188" t="s">
        <v>13</v>
      </c>
      <c r="F364" s="189" t="s">
        <v>694</v>
      </c>
      <c r="G364" s="190">
        <v>28</v>
      </c>
      <c r="H364" s="190" t="str">
        <f t="shared" si="21"/>
        <v>X-2_28</v>
      </c>
      <c r="I364" s="32">
        <v>28</v>
      </c>
      <c r="J364" s="32" t="str">
        <f t="shared" si="22"/>
        <v>3109142733-363</v>
      </c>
      <c r="K364" s="190"/>
      <c r="L364" s="32">
        <v>4</v>
      </c>
      <c r="M364" s="191"/>
      <c r="N364" s="192"/>
      <c r="O364" s="171">
        <v>63</v>
      </c>
      <c r="P364" s="193"/>
    </row>
    <row r="365" spans="1:16" x14ac:dyDescent="0.35">
      <c r="A365" s="1" t="str">
        <f t="shared" si="20"/>
        <v>4-29</v>
      </c>
      <c r="B365" s="26">
        <v>364</v>
      </c>
      <c r="C365" s="27" t="s">
        <v>743</v>
      </c>
      <c r="D365" s="187" t="s">
        <v>744</v>
      </c>
      <c r="E365" s="198" t="s">
        <v>13</v>
      </c>
      <c r="F365" s="189" t="s">
        <v>694</v>
      </c>
      <c r="G365" s="190">
        <v>29</v>
      </c>
      <c r="H365" s="190" t="str">
        <f t="shared" si="21"/>
        <v>X-2_29</v>
      </c>
      <c r="I365" s="32">
        <v>29</v>
      </c>
      <c r="J365" s="32" t="str">
        <f t="shared" si="22"/>
        <v>0109008642-364</v>
      </c>
      <c r="K365" s="190"/>
      <c r="L365" s="32">
        <v>4</v>
      </c>
      <c r="M365" s="191"/>
      <c r="N365" s="192"/>
      <c r="O365" s="192">
        <v>64</v>
      </c>
      <c r="P365" s="193"/>
    </row>
    <row r="366" spans="1:16" x14ac:dyDescent="0.35">
      <c r="A366" s="1" t="str">
        <f t="shared" si="20"/>
        <v>4-30</v>
      </c>
      <c r="B366" s="26">
        <v>365</v>
      </c>
      <c r="C366" s="27" t="s">
        <v>745</v>
      </c>
      <c r="D366" s="187" t="s">
        <v>746</v>
      </c>
      <c r="E366" s="198" t="s">
        <v>13</v>
      </c>
      <c r="F366" s="189" t="s">
        <v>694</v>
      </c>
      <c r="G366" s="190">
        <v>30</v>
      </c>
      <c r="H366" s="190" t="str">
        <f t="shared" si="21"/>
        <v>X-2_30</v>
      </c>
      <c r="I366" s="32">
        <v>30</v>
      </c>
      <c r="J366" s="32" t="str">
        <f t="shared" si="22"/>
        <v>0096619782-365</v>
      </c>
      <c r="K366" s="190"/>
      <c r="L366" s="32">
        <v>4</v>
      </c>
      <c r="M366" s="191"/>
      <c r="N366" s="192"/>
      <c r="O366" s="171">
        <v>65</v>
      </c>
      <c r="P366" s="193"/>
    </row>
    <row r="367" spans="1:16" x14ac:dyDescent="0.35">
      <c r="A367" s="1" t="str">
        <f t="shared" si="20"/>
        <v>4-31</v>
      </c>
      <c r="B367" s="26">
        <v>366</v>
      </c>
      <c r="C367" s="27" t="s">
        <v>747</v>
      </c>
      <c r="D367" s="199" t="s">
        <v>748</v>
      </c>
      <c r="E367" s="198" t="s">
        <v>23</v>
      </c>
      <c r="F367" s="189" t="s">
        <v>694</v>
      </c>
      <c r="G367" s="190">
        <v>31</v>
      </c>
      <c r="H367" s="190" t="str">
        <f t="shared" si="21"/>
        <v>X-2_31</v>
      </c>
      <c r="I367" s="32">
        <v>31</v>
      </c>
      <c r="J367" s="32" t="str">
        <f t="shared" si="22"/>
        <v>0099521051-366</v>
      </c>
      <c r="K367" s="190"/>
      <c r="L367" s="32">
        <v>4</v>
      </c>
      <c r="M367" s="191"/>
      <c r="N367" s="192"/>
      <c r="O367" s="192">
        <v>66</v>
      </c>
      <c r="P367" s="193"/>
    </row>
    <row r="368" spans="1:16" x14ac:dyDescent="0.35">
      <c r="A368" s="1" t="str">
        <f t="shared" si="20"/>
        <v>4-32</v>
      </c>
      <c r="B368" s="26">
        <v>367</v>
      </c>
      <c r="C368" s="27" t="s">
        <v>749</v>
      </c>
      <c r="D368" s="187" t="s">
        <v>750</v>
      </c>
      <c r="E368" s="198" t="s">
        <v>23</v>
      </c>
      <c r="F368" s="189" t="s">
        <v>694</v>
      </c>
      <c r="G368" s="190">
        <v>32</v>
      </c>
      <c r="H368" s="190" t="str">
        <f t="shared" si="21"/>
        <v>X-2_32</v>
      </c>
      <c r="I368" s="32">
        <v>32</v>
      </c>
      <c r="J368" s="32" t="str">
        <f t="shared" si="22"/>
        <v>0107237981-367</v>
      </c>
      <c r="K368" s="190"/>
      <c r="L368" s="32">
        <v>4</v>
      </c>
      <c r="M368" s="191"/>
      <c r="N368" s="192"/>
      <c r="O368" s="171">
        <v>67</v>
      </c>
      <c r="P368" s="193"/>
    </row>
    <row r="369" spans="1:16" x14ac:dyDescent="0.35">
      <c r="A369" s="1" t="str">
        <f t="shared" si="20"/>
        <v>4-33</v>
      </c>
      <c r="B369" s="26">
        <v>368</v>
      </c>
      <c r="C369" s="27" t="s">
        <v>751</v>
      </c>
      <c r="D369" s="187" t="s">
        <v>752</v>
      </c>
      <c r="E369" s="198" t="s">
        <v>23</v>
      </c>
      <c r="F369" s="189" t="s">
        <v>694</v>
      </c>
      <c r="G369" s="190">
        <v>33</v>
      </c>
      <c r="H369" s="190" t="str">
        <f t="shared" si="21"/>
        <v>X-2_33</v>
      </c>
      <c r="I369" s="32">
        <v>33</v>
      </c>
      <c r="J369" s="32" t="str">
        <f t="shared" si="22"/>
        <v>0102808446-368</v>
      </c>
      <c r="K369" s="190"/>
      <c r="L369" s="32">
        <v>4</v>
      </c>
      <c r="M369" s="191"/>
      <c r="N369" s="192"/>
      <c r="O369" s="192">
        <v>68</v>
      </c>
      <c r="P369" s="193"/>
    </row>
    <row r="370" spans="1:16" x14ac:dyDescent="0.35">
      <c r="A370" s="1" t="str">
        <f t="shared" si="20"/>
        <v>5-17</v>
      </c>
      <c r="B370" s="26">
        <v>369</v>
      </c>
      <c r="C370" s="37" t="s">
        <v>753</v>
      </c>
      <c r="D370" s="200" t="s">
        <v>754</v>
      </c>
      <c r="E370" s="201" t="s">
        <v>23</v>
      </c>
      <c r="F370" s="189" t="s">
        <v>694</v>
      </c>
      <c r="G370" s="190">
        <v>34</v>
      </c>
      <c r="H370" s="190" t="str">
        <f t="shared" si="21"/>
        <v>X-2_34</v>
      </c>
      <c r="I370" s="183">
        <v>17</v>
      </c>
      <c r="J370" s="183" t="str">
        <f t="shared" si="22"/>
        <v>0087957447-369</v>
      </c>
      <c r="K370" s="190"/>
      <c r="L370" s="183">
        <v>5</v>
      </c>
      <c r="M370" s="191"/>
      <c r="N370" s="192"/>
      <c r="O370" s="171">
        <v>69</v>
      </c>
      <c r="P370" s="193"/>
    </row>
    <row r="371" spans="1:16" x14ac:dyDescent="0.35">
      <c r="A371" s="1" t="str">
        <f t="shared" si="20"/>
        <v>5-18</v>
      </c>
      <c r="B371" s="26">
        <v>370</v>
      </c>
      <c r="C371" s="202" t="s">
        <v>755</v>
      </c>
      <c r="D371" s="203" t="s">
        <v>756</v>
      </c>
      <c r="E371" s="204" t="s">
        <v>13</v>
      </c>
      <c r="F371" s="205" t="s">
        <v>757</v>
      </c>
      <c r="G371" s="108">
        <v>1</v>
      </c>
      <c r="H371" s="108" t="str">
        <f t="shared" si="21"/>
        <v>X-3_1</v>
      </c>
      <c r="I371" s="183">
        <v>18</v>
      </c>
      <c r="J371" s="183" t="str">
        <f t="shared" si="22"/>
        <v>0097533607-370</v>
      </c>
      <c r="K371" s="108"/>
      <c r="L371" s="183">
        <v>5</v>
      </c>
      <c r="M371" s="206"/>
      <c r="N371" s="207"/>
      <c r="O371" s="192">
        <v>70</v>
      </c>
    </row>
    <row r="372" spans="1:16" x14ac:dyDescent="0.35">
      <c r="A372" s="1" t="str">
        <f t="shared" si="20"/>
        <v>5-19</v>
      </c>
      <c r="B372" s="26">
        <v>371</v>
      </c>
      <c r="C372" s="202">
        <v>3093938335</v>
      </c>
      <c r="D372" s="203" t="s">
        <v>758</v>
      </c>
      <c r="E372" s="204" t="s">
        <v>13</v>
      </c>
      <c r="F372" s="205" t="s">
        <v>757</v>
      </c>
      <c r="G372" s="108">
        <v>2</v>
      </c>
      <c r="H372" s="108" t="str">
        <f t="shared" si="21"/>
        <v>X-3_2</v>
      </c>
      <c r="I372" s="183">
        <v>19</v>
      </c>
      <c r="J372" s="183" t="str">
        <f t="shared" si="22"/>
        <v>3093938335-371</v>
      </c>
      <c r="K372" s="108"/>
      <c r="L372" s="183">
        <v>5</v>
      </c>
      <c r="M372" s="206"/>
      <c r="N372" s="207"/>
      <c r="O372" s="171">
        <v>71</v>
      </c>
    </row>
    <row r="373" spans="1:16" x14ac:dyDescent="0.35">
      <c r="A373" s="1" t="str">
        <f t="shared" si="20"/>
        <v>5-20</v>
      </c>
      <c r="B373" s="26">
        <v>372</v>
      </c>
      <c r="C373" s="202" t="s">
        <v>759</v>
      </c>
      <c r="D373" s="203" t="s">
        <v>760</v>
      </c>
      <c r="E373" s="204" t="s">
        <v>13</v>
      </c>
      <c r="F373" s="205" t="s">
        <v>757</v>
      </c>
      <c r="G373" s="108">
        <v>3</v>
      </c>
      <c r="H373" s="108" t="str">
        <f t="shared" si="21"/>
        <v>X-3_3</v>
      </c>
      <c r="I373" s="183">
        <v>20</v>
      </c>
      <c r="J373" s="183" t="str">
        <f t="shared" si="22"/>
        <v>0106260973-372</v>
      </c>
      <c r="K373" s="108"/>
      <c r="L373" s="183">
        <v>5</v>
      </c>
      <c r="M373" s="206"/>
      <c r="N373" s="207"/>
      <c r="O373" s="192">
        <v>72</v>
      </c>
    </row>
    <row r="374" spans="1:16" x14ac:dyDescent="0.35">
      <c r="A374" s="1" t="str">
        <f t="shared" si="20"/>
        <v>5-21</v>
      </c>
      <c r="B374" s="26">
        <v>373</v>
      </c>
      <c r="C374" s="202" t="s">
        <v>761</v>
      </c>
      <c r="D374" s="203" t="s">
        <v>762</v>
      </c>
      <c r="E374" s="204" t="s">
        <v>23</v>
      </c>
      <c r="F374" s="205" t="s">
        <v>757</v>
      </c>
      <c r="G374" s="108">
        <v>4</v>
      </c>
      <c r="H374" s="108" t="str">
        <f t="shared" si="21"/>
        <v>X-3_4</v>
      </c>
      <c r="I374" s="183">
        <v>21</v>
      </c>
      <c r="J374" s="183" t="str">
        <f t="shared" si="22"/>
        <v>0096944070-373</v>
      </c>
      <c r="K374" s="108"/>
      <c r="L374" s="183">
        <v>5</v>
      </c>
      <c r="M374" s="206"/>
      <c r="N374" s="207"/>
      <c r="O374" s="171">
        <v>73</v>
      </c>
    </row>
    <row r="375" spans="1:16" x14ac:dyDescent="0.35">
      <c r="A375" s="1" t="str">
        <f t="shared" si="20"/>
        <v>5-22</v>
      </c>
      <c r="B375" s="26">
        <v>374</v>
      </c>
      <c r="C375" s="202">
        <v>3101831628</v>
      </c>
      <c r="D375" s="203" t="s">
        <v>763</v>
      </c>
      <c r="E375" s="204" t="s">
        <v>13</v>
      </c>
      <c r="F375" s="205" t="s">
        <v>757</v>
      </c>
      <c r="G375" s="108">
        <v>5</v>
      </c>
      <c r="H375" s="108" t="str">
        <f t="shared" si="21"/>
        <v>X-3_5</v>
      </c>
      <c r="I375" s="183">
        <v>22</v>
      </c>
      <c r="J375" s="183" t="str">
        <f t="shared" si="22"/>
        <v>3101831628-374</v>
      </c>
      <c r="K375" s="108"/>
      <c r="L375" s="183">
        <v>5</v>
      </c>
      <c r="M375" s="206"/>
      <c r="N375" s="207"/>
      <c r="O375" s="192">
        <v>74</v>
      </c>
    </row>
    <row r="376" spans="1:16" x14ac:dyDescent="0.35">
      <c r="A376" s="1" t="str">
        <f t="shared" si="20"/>
        <v>5-23</v>
      </c>
      <c r="B376" s="26">
        <v>375</v>
      </c>
      <c r="C376" s="202" t="s">
        <v>764</v>
      </c>
      <c r="D376" s="203" t="s">
        <v>765</v>
      </c>
      <c r="E376" s="204" t="s">
        <v>23</v>
      </c>
      <c r="F376" s="205" t="s">
        <v>757</v>
      </c>
      <c r="G376" s="108">
        <v>6</v>
      </c>
      <c r="H376" s="108" t="str">
        <f t="shared" si="21"/>
        <v>X-3_6</v>
      </c>
      <c r="I376" s="183">
        <v>23</v>
      </c>
      <c r="J376" s="183" t="str">
        <f t="shared" si="22"/>
        <v>0107196233-375</v>
      </c>
      <c r="K376" s="108"/>
      <c r="L376" s="183">
        <v>5</v>
      </c>
      <c r="M376" s="206"/>
      <c r="N376" s="207"/>
      <c r="O376" s="171">
        <v>75</v>
      </c>
    </row>
    <row r="377" spans="1:16" x14ac:dyDescent="0.35">
      <c r="A377" s="1" t="str">
        <f t="shared" si="20"/>
        <v>5-24</v>
      </c>
      <c r="B377" s="26">
        <v>376</v>
      </c>
      <c r="C377" s="202">
        <v>3108178068</v>
      </c>
      <c r="D377" s="203" t="s">
        <v>766</v>
      </c>
      <c r="E377" s="204" t="s">
        <v>13</v>
      </c>
      <c r="F377" s="205" t="s">
        <v>757</v>
      </c>
      <c r="G377" s="108">
        <v>7</v>
      </c>
      <c r="H377" s="108" t="str">
        <f t="shared" si="21"/>
        <v>X-3_7</v>
      </c>
      <c r="I377" s="183">
        <v>24</v>
      </c>
      <c r="J377" s="183" t="str">
        <f t="shared" si="22"/>
        <v>3108178068-376</v>
      </c>
      <c r="K377" s="108"/>
      <c r="L377" s="183">
        <v>5</v>
      </c>
      <c r="M377" s="206"/>
      <c r="N377" s="207"/>
      <c r="O377" s="192">
        <v>76</v>
      </c>
    </row>
    <row r="378" spans="1:16" x14ac:dyDescent="0.35">
      <c r="A378" s="1" t="str">
        <f t="shared" si="20"/>
        <v>5-25</v>
      </c>
      <c r="B378" s="26">
        <v>377</v>
      </c>
      <c r="C378" s="202" t="s">
        <v>767</v>
      </c>
      <c r="D378" s="203" t="s">
        <v>768</v>
      </c>
      <c r="E378" s="204" t="s">
        <v>13</v>
      </c>
      <c r="F378" s="205" t="s">
        <v>757</v>
      </c>
      <c r="G378" s="108">
        <v>8</v>
      </c>
      <c r="H378" s="108" t="str">
        <f t="shared" si="21"/>
        <v>X-3_8</v>
      </c>
      <c r="I378" s="183">
        <v>25</v>
      </c>
      <c r="J378" s="183" t="str">
        <f t="shared" si="22"/>
        <v>0102277596-377</v>
      </c>
      <c r="K378" s="108"/>
      <c r="L378" s="183">
        <v>5</v>
      </c>
      <c r="M378" s="206"/>
      <c r="N378" s="207"/>
      <c r="O378" s="171">
        <v>77</v>
      </c>
    </row>
    <row r="379" spans="1:16" x14ac:dyDescent="0.35">
      <c r="A379" s="1" t="str">
        <f t="shared" si="20"/>
        <v>5-26</v>
      </c>
      <c r="B379" s="26">
        <v>378</v>
      </c>
      <c r="C379" s="202" t="s">
        <v>769</v>
      </c>
      <c r="D379" s="203" t="s">
        <v>770</v>
      </c>
      <c r="E379" s="204" t="s">
        <v>23</v>
      </c>
      <c r="F379" s="205" t="s">
        <v>757</v>
      </c>
      <c r="G379" s="108">
        <v>9</v>
      </c>
      <c r="H379" s="108" t="str">
        <f t="shared" si="21"/>
        <v>X-3_9</v>
      </c>
      <c r="I379" s="183">
        <v>26</v>
      </c>
      <c r="J379" s="183" t="str">
        <f t="shared" si="22"/>
        <v>0091235628-378</v>
      </c>
      <c r="K379" s="108"/>
      <c r="L379" s="183">
        <v>5</v>
      </c>
      <c r="M379" s="206"/>
      <c r="N379" s="207"/>
      <c r="O379" s="192">
        <v>78</v>
      </c>
    </row>
    <row r="380" spans="1:16" x14ac:dyDescent="0.35">
      <c r="A380" s="1" t="str">
        <f t="shared" si="20"/>
        <v>5-27</v>
      </c>
      <c r="B380" s="26">
        <v>379</v>
      </c>
      <c r="C380" s="202" t="s">
        <v>771</v>
      </c>
      <c r="D380" s="203" t="s">
        <v>772</v>
      </c>
      <c r="E380" s="204" t="s">
        <v>23</v>
      </c>
      <c r="F380" s="205" t="s">
        <v>757</v>
      </c>
      <c r="G380" s="108">
        <v>10</v>
      </c>
      <c r="H380" s="108" t="str">
        <f t="shared" si="21"/>
        <v>X-3_10</v>
      </c>
      <c r="I380" s="183">
        <v>27</v>
      </c>
      <c r="J380" s="183" t="str">
        <f t="shared" si="22"/>
        <v>0096983503-379</v>
      </c>
      <c r="K380" s="108"/>
      <c r="L380" s="183">
        <v>5</v>
      </c>
      <c r="M380" s="206"/>
      <c r="N380" s="207"/>
      <c r="O380" s="171">
        <v>79</v>
      </c>
    </row>
    <row r="381" spans="1:16" x14ac:dyDescent="0.35">
      <c r="A381" s="1" t="str">
        <f t="shared" si="20"/>
        <v>5-28</v>
      </c>
      <c r="B381" s="26">
        <v>380</v>
      </c>
      <c r="C381" s="202" t="s">
        <v>773</v>
      </c>
      <c r="D381" s="203" t="s">
        <v>774</v>
      </c>
      <c r="E381" s="204" t="s">
        <v>23</v>
      </c>
      <c r="F381" s="205" t="s">
        <v>757</v>
      </c>
      <c r="G381" s="108">
        <v>11</v>
      </c>
      <c r="H381" s="108" t="str">
        <f t="shared" si="21"/>
        <v>X-3_11</v>
      </c>
      <c r="I381" s="183">
        <v>28</v>
      </c>
      <c r="J381" s="183" t="str">
        <f t="shared" si="22"/>
        <v>0107660670-380</v>
      </c>
      <c r="K381" s="108"/>
      <c r="L381" s="183">
        <v>5</v>
      </c>
      <c r="M381" s="206"/>
      <c r="N381" s="207"/>
      <c r="O381" s="192">
        <v>80</v>
      </c>
    </row>
    <row r="382" spans="1:16" x14ac:dyDescent="0.35">
      <c r="A382" s="1" t="str">
        <f t="shared" si="20"/>
        <v>5-29</v>
      </c>
      <c r="B382" s="26">
        <v>381</v>
      </c>
      <c r="C382" s="202" t="s">
        <v>775</v>
      </c>
      <c r="D382" s="203" t="s">
        <v>776</v>
      </c>
      <c r="E382" s="204" t="s">
        <v>13</v>
      </c>
      <c r="F382" s="205" t="s">
        <v>757</v>
      </c>
      <c r="G382" s="108">
        <v>12</v>
      </c>
      <c r="H382" s="108" t="str">
        <f t="shared" si="21"/>
        <v>X-3_12</v>
      </c>
      <c r="I382" s="183">
        <v>29</v>
      </c>
      <c r="J382" s="183" t="str">
        <f t="shared" si="22"/>
        <v>0093598835-381</v>
      </c>
      <c r="K382" s="108"/>
      <c r="L382" s="183">
        <v>5</v>
      </c>
      <c r="M382" s="206"/>
      <c r="N382" s="207"/>
      <c r="O382" s="171">
        <v>81</v>
      </c>
    </row>
    <row r="383" spans="1:16" x14ac:dyDescent="0.35">
      <c r="A383" s="1" t="str">
        <f t="shared" si="20"/>
        <v>5-30</v>
      </c>
      <c r="B383" s="26">
        <v>382</v>
      </c>
      <c r="C383" s="208" t="s">
        <v>777</v>
      </c>
      <c r="D383" s="209" t="s">
        <v>778</v>
      </c>
      <c r="E383" s="210" t="s">
        <v>23</v>
      </c>
      <c r="F383" s="205" t="s">
        <v>757</v>
      </c>
      <c r="G383" s="108">
        <v>13</v>
      </c>
      <c r="H383" s="108" t="str">
        <f t="shared" si="21"/>
        <v>X-3_13</v>
      </c>
      <c r="I383" s="183">
        <v>30</v>
      </c>
      <c r="J383" s="183" t="str">
        <f t="shared" si="22"/>
        <v>0094365895-382</v>
      </c>
      <c r="K383" s="108"/>
      <c r="L383" s="183">
        <v>5</v>
      </c>
      <c r="M383" s="206"/>
      <c r="N383" s="207"/>
      <c r="O383" s="192">
        <v>82</v>
      </c>
    </row>
    <row r="384" spans="1:16" x14ac:dyDescent="0.35">
      <c r="A384" s="1" t="str">
        <f t="shared" si="20"/>
        <v>5-31</v>
      </c>
      <c r="B384" s="26">
        <v>383</v>
      </c>
      <c r="C384" s="202" t="s">
        <v>779</v>
      </c>
      <c r="D384" s="203" t="s">
        <v>780</v>
      </c>
      <c r="E384" s="204" t="s">
        <v>13</v>
      </c>
      <c r="F384" s="205" t="s">
        <v>757</v>
      </c>
      <c r="G384" s="108">
        <v>14</v>
      </c>
      <c r="H384" s="108" t="str">
        <f t="shared" si="21"/>
        <v>X-3_14</v>
      </c>
      <c r="I384" s="183">
        <v>31</v>
      </c>
      <c r="J384" s="183" t="str">
        <f t="shared" si="22"/>
        <v>0099729888-383</v>
      </c>
      <c r="K384" s="108"/>
      <c r="L384" s="183">
        <v>5</v>
      </c>
      <c r="M384" s="206"/>
      <c r="N384" s="207"/>
      <c r="O384" s="171">
        <v>83</v>
      </c>
    </row>
    <row r="385" spans="1:15" x14ac:dyDescent="0.35">
      <c r="A385" s="1" t="str">
        <f t="shared" si="20"/>
        <v>5-32</v>
      </c>
      <c r="B385" s="26">
        <v>384</v>
      </c>
      <c r="C385" s="202" t="s">
        <v>781</v>
      </c>
      <c r="D385" s="203" t="s">
        <v>782</v>
      </c>
      <c r="E385" s="204" t="s">
        <v>13</v>
      </c>
      <c r="F385" s="205" t="s">
        <v>757</v>
      </c>
      <c r="G385" s="108">
        <v>15</v>
      </c>
      <c r="H385" s="108" t="str">
        <f t="shared" si="21"/>
        <v>X-3_15</v>
      </c>
      <c r="I385" s="183">
        <v>32</v>
      </c>
      <c r="J385" s="183" t="str">
        <f t="shared" si="22"/>
        <v>0106611152-384</v>
      </c>
      <c r="K385" s="108"/>
      <c r="L385" s="183">
        <v>5</v>
      </c>
      <c r="M385" s="206"/>
      <c r="N385" s="207"/>
      <c r="O385" s="192">
        <v>84</v>
      </c>
    </row>
    <row r="386" spans="1:15" x14ac:dyDescent="0.35">
      <c r="A386" s="1" t="str">
        <f t="shared" ref="A386:A449" si="24">L386&amp;"-"&amp;I386</f>
        <v>5-33</v>
      </c>
      <c r="B386" s="26">
        <v>385</v>
      </c>
      <c r="C386" s="202" t="s">
        <v>783</v>
      </c>
      <c r="D386" s="203" t="s">
        <v>784</v>
      </c>
      <c r="E386" s="204" t="s">
        <v>23</v>
      </c>
      <c r="F386" s="205" t="s">
        <v>757</v>
      </c>
      <c r="G386" s="108">
        <v>16</v>
      </c>
      <c r="H386" s="108" t="str">
        <f t="shared" ref="H386:H449" si="25">F386&amp;"_"&amp;G386</f>
        <v>X-3_16</v>
      </c>
      <c r="I386" s="183">
        <v>33</v>
      </c>
      <c r="J386" s="183" t="str">
        <f t="shared" ref="J386:J449" si="26">C386&amp;"-"&amp;B386</f>
        <v>0086578604-385</v>
      </c>
      <c r="K386" s="108"/>
      <c r="L386" s="183">
        <v>5</v>
      </c>
      <c r="M386" s="206"/>
      <c r="N386" s="207"/>
      <c r="O386" s="171">
        <v>85</v>
      </c>
    </row>
    <row r="387" spans="1:15" x14ac:dyDescent="0.35">
      <c r="A387" s="1" t="str">
        <f t="shared" si="24"/>
        <v>6-17</v>
      </c>
      <c r="B387" s="26">
        <v>386</v>
      </c>
      <c r="C387" s="202" t="s">
        <v>785</v>
      </c>
      <c r="D387" s="203" t="s">
        <v>786</v>
      </c>
      <c r="E387" s="204" t="s">
        <v>23</v>
      </c>
      <c r="F387" s="205" t="s">
        <v>757</v>
      </c>
      <c r="G387" s="108">
        <v>17</v>
      </c>
      <c r="H387" s="108" t="str">
        <f t="shared" si="25"/>
        <v>X-3_17</v>
      </c>
      <c r="I387" s="32">
        <v>17</v>
      </c>
      <c r="J387" s="32" t="str">
        <f t="shared" si="26"/>
        <v>0102735075-386</v>
      </c>
      <c r="K387" s="108"/>
      <c r="L387" s="32">
        <v>6</v>
      </c>
      <c r="M387" s="206"/>
      <c r="N387" s="207"/>
      <c r="O387" s="192">
        <v>86</v>
      </c>
    </row>
    <row r="388" spans="1:15" x14ac:dyDescent="0.35">
      <c r="A388" s="1" t="str">
        <f t="shared" si="24"/>
        <v>6-18</v>
      </c>
      <c r="B388" s="26">
        <v>387</v>
      </c>
      <c r="C388" s="202" t="s">
        <v>787</v>
      </c>
      <c r="D388" s="203" t="s">
        <v>788</v>
      </c>
      <c r="E388" s="204" t="s">
        <v>23</v>
      </c>
      <c r="F388" s="205" t="s">
        <v>757</v>
      </c>
      <c r="G388" s="108">
        <v>18</v>
      </c>
      <c r="H388" s="108" t="str">
        <f t="shared" si="25"/>
        <v>X-3_18</v>
      </c>
      <c r="I388" s="32">
        <v>18</v>
      </c>
      <c r="J388" s="32" t="str">
        <f t="shared" si="26"/>
        <v>0108010432-387</v>
      </c>
      <c r="K388" s="108"/>
      <c r="L388" s="32">
        <v>6</v>
      </c>
      <c r="M388" s="206"/>
      <c r="N388" s="207"/>
      <c r="O388" s="171">
        <v>87</v>
      </c>
    </row>
    <row r="389" spans="1:15" x14ac:dyDescent="0.35">
      <c r="A389" s="1" t="str">
        <f t="shared" si="24"/>
        <v>6-19</v>
      </c>
      <c r="B389" s="26">
        <v>388</v>
      </c>
      <c r="C389" s="202" t="s">
        <v>789</v>
      </c>
      <c r="D389" s="203" t="s">
        <v>790</v>
      </c>
      <c r="E389" s="204" t="s">
        <v>13</v>
      </c>
      <c r="F389" s="205" t="s">
        <v>757</v>
      </c>
      <c r="G389" s="108">
        <v>19</v>
      </c>
      <c r="H389" s="108" t="str">
        <f t="shared" si="25"/>
        <v>X-3_19</v>
      </c>
      <c r="I389" s="32">
        <v>19</v>
      </c>
      <c r="J389" s="32" t="str">
        <f t="shared" si="26"/>
        <v>0106458700-388</v>
      </c>
      <c r="K389" s="108"/>
      <c r="L389" s="32">
        <v>6</v>
      </c>
      <c r="M389" s="206"/>
      <c r="N389" s="207"/>
      <c r="O389" s="192">
        <v>88</v>
      </c>
    </row>
    <row r="390" spans="1:15" x14ac:dyDescent="0.35">
      <c r="A390" s="1" t="str">
        <f t="shared" si="24"/>
        <v>6-20</v>
      </c>
      <c r="B390" s="26">
        <v>389</v>
      </c>
      <c r="C390" s="202" t="s">
        <v>791</v>
      </c>
      <c r="D390" s="203" t="s">
        <v>792</v>
      </c>
      <c r="E390" s="204" t="s">
        <v>23</v>
      </c>
      <c r="F390" s="205" t="s">
        <v>757</v>
      </c>
      <c r="G390" s="108">
        <v>20</v>
      </c>
      <c r="H390" s="108" t="str">
        <f t="shared" si="25"/>
        <v>X-3_20</v>
      </c>
      <c r="I390" s="32">
        <v>20</v>
      </c>
      <c r="J390" s="32" t="str">
        <f t="shared" si="26"/>
        <v>0106523737-389</v>
      </c>
      <c r="K390" s="108"/>
      <c r="L390" s="32">
        <v>6</v>
      </c>
      <c r="M390" s="206"/>
      <c r="N390" s="207"/>
      <c r="O390" s="171">
        <v>89</v>
      </c>
    </row>
    <row r="391" spans="1:15" x14ac:dyDescent="0.35">
      <c r="A391" s="1" t="str">
        <f t="shared" si="24"/>
        <v>6-21</v>
      </c>
      <c r="B391" s="26">
        <v>390</v>
      </c>
      <c r="C391" s="202" t="s">
        <v>793</v>
      </c>
      <c r="D391" s="203" t="s">
        <v>794</v>
      </c>
      <c r="E391" s="204" t="s">
        <v>23</v>
      </c>
      <c r="F391" s="205" t="s">
        <v>757</v>
      </c>
      <c r="G391" s="108">
        <v>21</v>
      </c>
      <c r="H391" s="108" t="str">
        <f t="shared" si="25"/>
        <v>X-3_21</v>
      </c>
      <c r="I391" s="32">
        <v>21</v>
      </c>
      <c r="J391" s="32" t="str">
        <f t="shared" si="26"/>
        <v>0102772105-390</v>
      </c>
      <c r="K391" s="108"/>
      <c r="L391" s="32">
        <v>6</v>
      </c>
      <c r="M391" s="206"/>
      <c r="N391" s="207"/>
      <c r="O391" s="192">
        <v>90</v>
      </c>
    </row>
    <row r="392" spans="1:15" x14ac:dyDescent="0.35">
      <c r="A392" s="1" t="str">
        <f t="shared" si="24"/>
        <v>6-22</v>
      </c>
      <c r="B392" s="26">
        <v>391</v>
      </c>
      <c r="C392" s="202" t="s">
        <v>795</v>
      </c>
      <c r="D392" s="203" t="s">
        <v>796</v>
      </c>
      <c r="E392" s="204" t="s">
        <v>23</v>
      </c>
      <c r="F392" s="205" t="s">
        <v>757</v>
      </c>
      <c r="G392" s="108">
        <v>22</v>
      </c>
      <c r="H392" s="108" t="str">
        <f t="shared" si="25"/>
        <v>X-3_22</v>
      </c>
      <c r="I392" s="32">
        <v>22</v>
      </c>
      <c r="J392" s="32" t="str">
        <f t="shared" si="26"/>
        <v>0107918148-391</v>
      </c>
      <c r="K392" s="108"/>
      <c r="L392" s="32">
        <v>6</v>
      </c>
      <c r="M392" s="206"/>
      <c r="N392" s="207"/>
      <c r="O392" s="171">
        <v>91</v>
      </c>
    </row>
    <row r="393" spans="1:15" x14ac:dyDescent="0.35">
      <c r="A393" s="1" t="str">
        <f t="shared" si="24"/>
        <v>6-23</v>
      </c>
      <c r="B393" s="26">
        <v>392</v>
      </c>
      <c r="C393" s="202" t="s">
        <v>797</v>
      </c>
      <c r="D393" s="203" t="s">
        <v>798</v>
      </c>
      <c r="E393" s="204" t="s">
        <v>23</v>
      </c>
      <c r="F393" s="205" t="s">
        <v>757</v>
      </c>
      <c r="G393" s="108">
        <v>23</v>
      </c>
      <c r="H393" s="108" t="str">
        <f t="shared" si="25"/>
        <v>X-3_23</v>
      </c>
      <c r="I393" s="32">
        <v>23</v>
      </c>
      <c r="J393" s="32" t="str">
        <f t="shared" si="26"/>
        <v>0101289668-392</v>
      </c>
      <c r="K393" s="108"/>
      <c r="L393" s="32">
        <v>6</v>
      </c>
      <c r="M393" s="206"/>
      <c r="N393" s="207"/>
      <c r="O393" s="192">
        <v>92</v>
      </c>
    </row>
    <row r="394" spans="1:15" x14ac:dyDescent="0.35">
      <c r="A394" s="1" t="str">
        <f t="shared" si="24"/>
        <v>6-24</v>
      </c>
      <c r="B394" s="26">
        <v>393</v>
      </c>
      <c r="C394" s="202" t="s">
        <v>799</v>
      </c>
      <c r="D394" s="203" t="s">
        <v>800</v>
      </c>
      <c r="E394" s="204" t="s">
        <v>23</v>
      </c>
      <c r="F394" s="205" t="s">
        <v>757</v>
      </c>
      <c r="G394" s="108">
        <v>24</v>
      </c>
      <c r="H394" s="108" t="str">
        <f t="shared" si="25"/>
        <v>X-3_24</v>
      </c>
      <c r="I394" s="32">
        <v>24</v>
      </c>
      <c r="J394" s="32" t="str">
        <f t="shared" si="26"/>
        <v>0095373891-393</v>
      </c>
      <c r="K394" s="108"/>
      <c r="L394" s="32">
        <v>6</v>
      </c>
      <c r="M394" s="206"/>
      <c r="N394" s="207"/>
      <c r="O394" s="171">
        <v>93</v>
      </c>
    </row>
    <row r="395" spans="1:15" x14ac:dyDescent="0.35">
      <c r="A395" s="1" t="str">
        <f t="shared" si="24"/>
        <v>6-25</v>
      </c>
      <c r="B395" s="26">
        <v>394</v>
      </c>
      <c r="C395" s="202" t="s">
        <v>801</v>
      </c>
      <c r="D395" s="203" t="s">
        <v>802</v>
      </c>
      <c r="E395" s="204" t="s">
        <v>23</v>
      </c>
      <c r="F395" s="205" t="s">
        <v>757</v>
      </c>
      <c r="G395" s="108">
        <v>25</v>
      </c>
      <c r="H395" s="108" t="str">
        <f t="shared" si="25"/>
        <v>X-3_25</v>
      </c>
      <c r="I395" s="32">
        <v>25</v>
      </c>
      <c r="J395" s="32" t="str">
        <f t="shared" si="26"/>
        <v>0093797247-394</v>
      </c>
      <c r="K395" s="108"/>
      <c r="L395" s="32">
        <v>6</v>
      </c>
      <c r="M395" s="206"/>
      <c r="N395" s="207"/>
      <c r="O395" s="192">
        <v>94</v>
      </c>
    </row>
    <row r="396" spans="1:15" x14ac:dyDescent="0.35">
      <c r="A396" s="1" t="str">
        <f t="shared" si="24"/>
        <v>6-26</v>
      </c>
      <c r="B396" s="26">
        <v>395</v>
      </c>
      <c r="C396" s="202" t="s">
        <v>803</v>
      </c>
      <c r="D396" s="203" t="s">
        <v>804</v>
      </c>
      <c r="E396" s="204" t="s">
        <v>13</v>
      </c>
      <c r="F396" s="205" t="s">
        <v>757</v>
      </c>
      <c r="G396" s="108">
        <v>26</v>
      </c>
      <c r="H396" s="108" t="str">
        <f t="shared" si="25"/>
        <v>X-3_26</v>
      </c>
      <c r="I396" s="32">
        <v>26</v>
      </c>
      <c r="J396" s="32" t="str">
        <f t="shared" si="26"/>
        <v>0094879258-395</v>
      </c>
      <c r="K396" s="108"/>
      <c r="L396" s="32">
        <v>6</v>
      </c>
      <c r="M396" s="206"/>
      <c r="N396" s="207"/>
      <c r="O396" s="171">
        <v>95</v>
      </c>
    </row>
    <row r="397" spans="1:15" x14ac:dyDescent="0.35">
      <c r="A397" s="1" t="str">
        <f t="shared" si="24"/>
        <v>6-27</v>
      </c>
      <c r="B397" s="26">
        <v>396</v>
      </c>
      <c r="C397" s="202" t="s">
        <v>805</v>
      </c>
      <c r="D397" s="203" t="s">
        <v>806</v>
      </c>
      <c r="E397" s="204" t="s">
        <v>13</v>
      </c>
      <c r="F397" s="205" t="s">
        <v>757</v>
      </c>
      <c r="G397" s="108">
        <v>27</v>
      </c>
      <c r="H397" s="108" t="str">
        <f t="shared" si="25"/>
        <v>X-3_27</v>
      </c>
      <c r="I397" s="32">
        <v>27</v>
      </c>
      <c r="J397" s="32" t="str">
        <f t="shared" si="26"/>
        <v>0092071638-396</v>
      </c>
      <c r="K397" s="108"/>
      <c r="L397" s="32">
        <v>6</v>
      </c>
      <c r="M397" s="206"/>
      <c r="N397" s="207"/>
      <c r="O397" s="192">
        <v>96</v>
      </c>
    </row>
    <row r="398" spans="1:15" x14ac:dyDescent="0.35">
      <c r="A398" s="1" t="str">
        <f t="shared" si="24"/>
        <v>6-28</v>
      </c>
      <c r="B398" s="26">
        <v>397</v>
      </c>
      <c r="C398" s="202" t="s">
        <v>807</v>
      </c>
      <c r="D398" s="203" t="s">
        <v>808</v>
      </c>
      <c r="E398" s="204" t="s">
        <v>13</v>
      </c>
      <c r="F398" s="205" t="s">
        <v>757</v>
      </c>
      <c r="G398" s="108">
        <v>28</v>
      </c>
      <c r="H398" s="108" t="str">
        <f t="shared" si="25"/>
        <v>X-3_28</v>
      </c>
      <c r="I398" s="32">
        <v>28</v>
      </c>
      <c r="J398" s="32" t="str">
        <f t="shared" si="26"/>
        <v>0087085063-397</v>
      </c>
      <c r="K398" s="108"/>
      <c r="L398" s="32">
        <v>6</v>
      </c>
      <c r="M398" s="206"/>
      <c r="N398" s="207"/>
      <c r="O398" s="171">
        <v>97</v>
      </c>
    </row>
    <row r="399" spans="1:15" x14ac:dyDescent="0.35">
      <c r="A399" s="1" t="str">
        <f t="shared" si="24"/>
        <v>6-29</v>
      </c>
      <c r="B399" s="26">
        <v>398</v>
      </c>
      <c r="C399" s="202" t="s">
        <v>809</v>
      </c>
      <c r="D399" s="203" t="s">
        <v>810</v>
      </c>
      <c r="E399" s="204" t="s">
        <v>13</v>
      </c>
      <c r="F399" s="205" t="s">
        <v>757</v>
      </c>
      <c r="G399" s="108">
        <v>29</v>
      </c>
      <c r="H399" s="108" t="str">
        <f t="shared" si="25"/>
        <v>X-3_29</v>
      </c>
      <c r="I399" s="32">
        <v>29</v>
      </c>
      <c r="J399" s="32" t="str">
        <f t="shared" si="26"/>
        <v>0098034037-398</v>
      </c>
      <c r="K399" s="108"/>
      <c r="L399" s="32">
        <v>6</v>
      </c>
      <c r="M399" s="206"/>
      <c r="N399" s="207"/>
      <c r="O399" s="192">
        <v>98</v>
      </c>
    </row>
    <row r="400" spans="1:15" x14ac:dyDescent="0.35">
      <c r="A400" s="1" t="str">
        <f t="shared" si="24"/>
        <v>6-30</v>
      </c>
      <c r="B400" s="26">
        <v>399</v>
      </c>
      <c r="C400" s="202" t="s">
        <v>811</v>
      </c>
      <c r="D400" s="203" t="s">
        <v>812</v>
      </c>
      <c r="E400" s="204" t="s">
        <v>13</v>
      </c>
      <c r="F400" s="205" t="s">
        <v>757</v>
      </c>
      <c r="G400" s="108">
        <v>30</v>
      </c>
      <c r="H400" s="108" t="str">
        <f t="shared" si="25"/>
        <v>X-3_30</v>
      </c>
      <c r="I400" s="32">
        <v>30</v>
      </c>
      <c r="J400" s="32" t="str">
        <f t="shared" si="26"/>
        <v>0109126817-399</v>
      </c>
      <c r="K400" s="108"/>
      <c r="L400" s="32">
        <v>6</v>
      </c>
      <c r="M400" s="206"/>
      <c r="N400" s="207"/>
      <c r="O400" s="171">
        <v>99</v>
      </c>
    </row>
    <row r="401" spans="1:16" x14ac:dyDescent="0.35">
      <c r="A401" s="1" t="str">
        <f t="shared" si="24"/>
        <v>6-31</v>
      </c>
      <c r="B401" s="26">
        <v>400</v>
      </c>
      <c r="C401" s="202" t="s">
        <v>813</v>
      </c>
      <c r="D401" s="203" t="s">
        <v>814</v>
      </c>
      <c r="E401" s="211" t="s">
        <v>13</v>
      </c>
      <c r="F401" s="205" t="s">
        <v>757</v>
      </c>
      <c r="G401" s="108">
        <v>31</v>
      </c>
      <c r="H401" s="108" t="str">
        <f t="shared" si="25"/>
        <v>X-3_31</v>
      </c>
      <c r="I401" s="32">
        <v>31</v>
      </c>
      <c r="J401" s="32" t="str">
        <f t="shared" si="26"/>
        <v>0101784215-400</v>
      </c>
      <c r="K401" s="108"/>
      <c r="L401" s="32">
        <v>6</v>
      </c>
      <c r="M401" s="206"/>
      <c r="N401" s="207"/>
      <c r="O401" s="192">
        <v>100</v>
      </c>
    </row>
    <row r="402" spans="1:16" x14ac:dyDescent="0.35">
      <c r="A402" s="1" t="str">
        <f t="shared" si="24"/>
        <v>6-32</v>
      </c>
      <c r="B402" s="26">
        <v>401</v>
      </c>
      <c r="C402" s="202" t="s">
        <v>815</v>
      </c>
      <c r="D402" s="203" t="s">
        <v>816</v>
      </c>
      <c r="E402" s="211" t="s">
        <v>13</v>
      </c>
      <c r="F402" s="205" t="s">
        <v>757</v>
      </c>
      <c r="G402" s="108">
        <v>32</v>
      </c>
      <c r="H402" s="108" t="str">
        <f t="shared" si="25"/>
        <v>X-3_32</v>
      </c>
      <c r="I402" s="32">
        <v>32</v>
      </c>
      <c r="J402" s="32" t="str">
        <f t="shared" si="26"/>
        <v>0099552872-401</v>
      </c>
      <c r="K402" s="108"/>
      <c r="L402" s="32">
        <v>6</v>
      </c>
      <c r="M402" s="206"/>
      <c r="N402" s="207"/>
      <c r="O402" s="171">
        <v>101</v>
      </c>
    </row>
    <row r="403" spans="1:16" x14ac:dyDescent="0.35">
      <c r="A403" s="1" t="str">
        <f t="shared" si="24"/>
        <v>6-33</v>
      </c>
      <c r="B403" s="26">
        <v>402</v>
      </c>
      <c r="C403" s="202" t="s">
        <v>817</v>
      </c>
      <c r="D403" s="203" t="s">
        <v>818</v>
      </c>
      <c r="E403" s="211" t="s">
        <v>13</v>
      </c>
      <c r="F403" s="205" t="s">
        <v>757</v>
      </c>
      <c r="G403" s="108">
        <v>33</v>
      </c>
      <c r="H403" s="108" t="str">
        <f t="shared" si="25"/>
        <v>X-3_33</v>
      </c>
      <c r="I403" s="32">
        <v>33</v>
      </c>
      <c r="J403" s="32" t="str">
        <f t="shared" si="26"/>
        <v>0091008048-402</v>
      </c>
      <c r="K403" s="108"/>
      <c r="L403" s="32">
        <v>6</v>
      </c>
      <c r="M403" s="206"/>
      <c r="N403" s="207"/>
      <c r="O403" s="192">
        <v>102</v>
      </c>
    </row>
    <row r="404" spans="1:16" x14ac:dyDescent="0.35">
      <c r="A404" s="1" t="str">
        <f t="shared" si="24"/>
        <v>7-17</v>
      </c>
      <c r="B404" s="26">
        <v>403</v>
      </c>
      <c r="C404" s="202" t="s">
        <v>819</v>
      </c>
      <c r="D404" s="203" t="s">
        <v>820</v>
      </c>
      <c r="E404" s="211" t="s">
        <v>13</v>
      </c>
      <c r="F404" s="205" t="s">
        <v>757</v>
      </c>
      <c r="G404" s="108">
        <v>34</v>
      </c>
      <c r="H404" s="108" t="str">
        <f t="shared" si="25"/>
        <v>X-3_34</v>
      </c>
      <c r="I404" s="183">
        <v>17</v>
      </c>
      <c r="J404" s="183" t="str">
        <f t="shared" si="26"/>
        <v>0091100961-403</v>
      </c>
      <c r="K404" s="108"/>
      <c r="L404" s="183">
        <v>7</v>
      </c>
      <c r="M404" s="206"/>
      <c r="N404" s="207"/>
      <c r="O404" s="171">
        <v>103</v>
      </c>
    </row>
    <row r="405" spans="1:16" x14ac:dyDescent="0.35">
      <c r="A405" s="1" t="str">
        <f t="shared" si="24"/>
        <v>7-18</v>
      </c>
      <c r="B405" s="26">
        <v>404</v>
      </c>
      <c r="C405" s="202" t="s">
        <v>821</v>
      </c>
      <c r="D405" s="203" t="s">
        <v>822</v>
      </c>
      <c r="E405" s="211" t="s">
        <v>23</v>
      </c>
      <c r="F405" s="205" t="s">
        <v>757</v>
      </c>
      <c r="G405" s="108">
        <v>35</v>
      </c>
      <c r="H405" s="108" t="str">
        <f t="shared" si="25"/>
        <v>X-3_35</v>
      </c>
      <c r="I405" s="183">
        <v>18</v>
      </c>
      <c r="J405" s="183" t="str">
        <f t="shared" si="26"/>
        <v>0108461666-404</v>
      </c>
      <c r="K405" s="108"/>
      <c r="L405" s="183">
        <v>7</v>
      </c>
      <c r="M405" s="206"/>
      <c r="N405" s="207"/>
      <c r="O405" s="192">
        <v>104</v>
      </c>
    </row>
    <row r="406" spans="1:16" x14ac:dyDescent="0.35">
      <c r="A406" s="1" t="str">
        <f t="shared" si="24"/>
        <v>7-19</v>
      </c>
      <c r="B406" s="26">
        <v>405</v>
      </c>
      <c r="C406" s="212" t="s">
        <v>823</v>
      </c>
      <c r="D406" s="213" t="s">
        <v>824</v>
      </c>
      <c r="E406" s="214" t="s">
        <v>825</v>
      </c>
      <c r="F406" s="205" t="s">
        <v>757</v>
      </c>
      <c r="G406" s="108">
        <v>36</v>
      </c>
      <c r="H406" s="108" t="str">
        <f t="shared" si="25"/>
        <v>X-3_36</v>
      </c>
      <c r="I406" s="183">
        <v>19</v>
      </c>
      <c r="J406" s="183" t="str">
        <f t="shared" si="26"/>
        <v>0103343783-405</v>
      </c>
      <c r="K406" s="108"/>
      <c r="L406" s="183">
        <v>7</v>
      </c>
      <c r="M406" s="206"/>
      <c r="N406" s="207"/>
      <c r="O406" s="171">
        <v>105</v>
      </c>
    </row>
    <row r="407" spans="1:16" x14ac:dyDescent="0.35">
      <c r="A407" s="1" t="str">
        <f t="shared" si="24"/>
        <v>7-20</v>
      </c>
      <c r="B407" s="26">
        <v>406</v>
      </c>
      <c r="C407" s="215" t="s">
        <v>826</v>
      </c>
      <c r="D407" s="216" t="s">
        <v>827</v>
      </c>
      <c r="E407" s="217" t="s">
        <v>23</v>
      </c>
      <c r="F407" s="218" t="s">
        <v>828</v>
      </c>
      <c r="G407" s="183">
        <v>1</v>
      </c>
      <c r="H407" s="183" t="str">
        <f t="shared" si="25"/>
        <v>X-4_1</v>
      </c>
      <c r="I407" s="183">
        <v>20</v>
      </c>
      <c r="J407" s="183" t="str">
        <f t="shared" si="26"/>
        <v>0096933535-406</v>
      </c>
      <c r="K407" s="32"/>
      <c r="L407" s="183">
        <v>7</v>
      </c>
      <c r="M407" s="219"/>
      <c r="N407" s="220"/>
      <c r="O407" s="220">
        <v>106</v>
      </c>
      <c r="P407" s="221"/>
    </row>
    <row r="408" spans="1:16" x14ac:dyDescent="0.35">
      <c r="A408" s="1" t="str">
        <f t="shared" si="24"/>
        <v>7-21</v>
      </c>
      <c r="B408" s="26">
        <v>407</v>
      </c>
      <c r="C408" s="215" t="s">
        <v>829</v>
      </c>
      <c r="D408" s="216" t="s">
        <v>830</v>
      </c>
      <c r="E408" s="217" t="s">
        <v>13</v>
      </c>
      <c r="F408" s="218" t="s">
        <v>828</v>
      </c>
      <c r="G408" s="183">
        <v>2</v>
      </c>
      <c r="H408" s="183" t="str">
        <f t="shared" si="25"/>
        <v>X-4_2</v>
      </c>
      <c r="I408" s="183">
        <v>21</v>
      </c>
      <c r="J408" s="183" t="str">
        <f t="shared" si="26"/>
        <v>0107277820-407</v>
      </c>
      <c r="K408" s="32"/>
      <c r="L408" s="183">
        <v>7</v>
      </c>
      <c r="M408" s="219"/>
      <c r="N408" s="220"/>
      <c r="O408" s="220">
        <v>107</v>
      </c>
      <c r="P408" s="221"/>
    </row>
    <row r="409" spans="1:16" x14ac:dyDescent="0.35">
      <c r="A409" s="1" t="str">
        <f t="shared" si="24"/>
        <v>7-22</v>
      </c>
      <c r="B409" s="26">
        <v>408</v>
      </c>
      <c r="C409" s="215" t="s">
        <v>831</v>
      </c>
      <c r="D409" s="216" t="s">
        <v>832</v>
      </c>
      <c r="E409" s="217" t="s">
        <v>13</v>
      </c>
      <c r="F409" s="218" t="s">
        <v>828</v>
      </c>
      <c r="G409" s="183">
        <v>3</v>
      </c>
      <c r="H409" s="183" t="str">
        <f t="shared" si="25"/>
        <v>X-4_3</v>
      </c>
      <c r="I409" s="183">
        <v>22</v>
      </c>
      <c r="J409" s="183" t="str">
        <f t="shared" si="26"/>
        <v>0098202721-408</v>
      </c>
      <c r="K409" s="32"/>
      <c r="L409" s="183">
        <v>7</v>
      </c>
      <c r="M409" s="219"/>
      <c r="N409" s="220"/>
      <c r="O409" s="220">
        <v>108</v>
      </c>
      <c r="P409" s="221"/>
    </row>
    <row r="410" spans="1:16" x14ac:dyDescent="0.35">
      <c r="A410" s="1" t="str">
        <f t="shared" si="24"/>
        <v>7-23</v>
      </c>
      <c r="B410" s="26">
        <v>409</v>
      </c>
      <c r="C410" s="215" t="s">
        <v>833</v>
      </c>
      <c r="D410" s="216" t="s">
        <v>834</v>
      </c>
      <c r="E410" s="217" t="s">
        <v>13</v>
      </c>
      <c r="F410" s="218" t="s">
        <v>828</v>
      </c>
      <c r="G410" s="183">
        <v>4</v>
      </c>
      <c r="H410" s="183" t="str">
        <f t="shared" si="25"/>
        <v>X-4_4</v>
      </c>
      <c r="I410" s="183">
        <v>23</v>
      </c>
      <c r="J410" s="183" t="str">
        <f t="shared" si="26"/>
        <v>0093799142-409</v>
      </c>
      <c r="K410" s="32"/>
      <c r="L410" s="183">
        <v>7</v>
      </c>
      <c r="M410" s="219"/>
      <c r="N410" s="220"/>
      <c r="O410" s="220">
        <v>109</v>
      </c>
      <c r="P410" s="221"/>
    </row>
    <row r="411" spans="1:16" x14ac:dyDescent="0.35">
      <c r="A411" s="1" t="str">
        <f t="shared" si="24"/>
        <v>7-24</v>
      </c>
      <c r="B411" s="26">
        <v>410</v>
      </c>
      <c r="C411" s="215" t="s">
        <v>835</v>
      </c>
      <c r="D411" s="216" t="s">
        <v>836</v>
      </c>
      <c r="E411" s="217" t="s">
        <v>23</v>
      </c>
      <c r="F411" s="218" t="s">
        <v>828</v>
      </c>
      <c r="G411" s="183">
        <v>5</v>
      </c>
      <c r="H411" s="183" t="str">
        <f t="shared" si="25"/>
        <v>X-4_5</v>
      </c>
      <c r="I411" s="183">
        <v>24</v>
      </c>
      <c r="J411" s="183" t="str">
        <f t="shared" si="26"/>
        <v>0101312807-410</v>
      </c>
      <c r="K411" s="32"/>
      <c r="L411" s="183">
        <v>7</v>
      </c>
      <c r="M411" s="219"/>
      <c r="N411" s="220"/>
      <c r="O411" s="220">
        <v>110</v>
      </c>
      <c r="P411" s="221"/>
    </row>
    <row r="412" spans="1:16" x14ac:dyDescent="0.35">
      <c r="A412" s="1" t="str">
        <f t="shared" si="24"/>
        <v>7-25</v>
      </c>
      <c r="B412" s="26">
        <v>411</v>
      </c>
      <c r="C412" s="215" t="s">
        <v>837</v>
      </c>
      <c r="D412" s="216" t="s">
        <v>838</v>
      </c>
      <c r="E412" s="217" t="s">
        <v>13</v>
      </c>
      <c r="F412" s="218" t="s">
        <v>828</v>
      </c>
      <c r="G412" s="183">
        <v>6</v>
      </c>
      <c r="H412" s="183" t="str">
        <f t="shared" si="25"/>
        <v>X-4_6</v>
      </c>
      <c r="I412" s="183">
        <v>25</v>
      </c>
      <c r="J412" s="183" t="str">
        <f t="shared" si="26"/>
        <v>0093690681-411</v>
      </c>
      <c r="K412" s="32"/>
      <c r="L412" s="183">
        <v>7</v>
      </c>
      <c r="M412" s="219"/>
      <c r="N412" s="220"/>
      <c r="O412" s="220">
        <v>111</v>
      </c>
      <c r="P412" s="221"/>
    </row>
    <row r="413" spans="1:16" x14ac:dyDescent="0.35">
      <c r="A413" s="1" t="str">
        <f t="shared" si="24"/>
        <v>7-26</v>
      </c>
      <c r="B413" s="26">
        <v>412</v>
      </c>
      <c r="C413" s="215" t="s">
        <v>839</v>
      </c>
      <c r="D413" s="216" t="s">
        <v>840</v>
      </c>
      <c r="E413" s="217" t="s">
        <v>23</v>
      </c>
      <c r="F413" s="218" t="s">
        <v>828</v>
      </c>
      <c r="G413" s="183">
        <v>7</v>
      </c>
      <c r="H413" s="183" t="str">
        <f t="shared" si="25"/>
        <v>X-4_7</v>
      </c>
      <c r="I413" s="183">
        <v>26</v>
      </c>
      <c r="J413" s="183" t="str">
        <f t="shared" si="26"/>
        <v>0093312749-412</v>
      </c>
      <c r="K413" s="32"/>
      <c r="L413" s="183">
        <v>7</v>
      </c>
      <c r="M413" s="219"/>
      <c r="N413" s="220"/>
      <c r="O413" s="220">
        <v>112</v>
      </c>
      <c r="P413" s="221"/>
    </row>
    <row r="414" spans="1:16" x14ac:dyDescent="0.35">
      <c r="A414" s="1" t="str">
        <f t="shared" si="24"/>
        <v>7-27</v>
      </c>
      <c r="B414" s="26">
        <v>413</v>
      </c>
      <c r="C414" s="222" t="s">
        <v>841</v>
      </c>
      <c r="D414" s="223" t="s">
        <v>842</v>
      </c>
      <c r="E414" s="224" t="s">
        <v>13</v>
      </c>
      <c r="F414" s="218" t="s">
        <v>828</v>
      </c>
      <c r="G414" s="183">
        <v>8</v>
      </c>
      <c r="H414" s="183" t="str">
        <f t="shared" si="25"/>
        <v>X-4_8</v>
      </c>
      <c r="I414" s="183">
        <v>27</v>
      </c>
      <c r="J414" s="183" t="str">
        <f t="shared" si="26"/>
        <v>0093823932-413</v>
      </c>
      <c r="K414" s="32"/>
      <c r="L414" s="183">
        <v>7</v>
      </c>
      <c r="M414" s="219"/>
      <c r="N414" s="220"/>
      <c r="O414" s="220">
        <v>113</v>
      </c>
      <c r="P414" s="221"/>
    </row>
    <row r="415" spans="1:16" x14ac:dyDescent="0.35">
      <c r="A415" s="1" t="str">
        <f t="shared" si="24"/>
        <v>7-28</v>
      </c>
      <c r="B415" s="26">
        <v>414</v>
      </c>
      <c r="C415" s="215" t="s">
        <v>843</v>
      </c>
      <c r="D415" s="216" t="s">
        <v>844</v>
      </c>
      <c r="E415" s="217" t="s">
        <v>13</v>
      </c>
      <c r="F415" s="218" t="s">
        <v>828</v>
      </c>
      <c r="G415" s="183">
        <v>9</v>
      </c>
      <c r="H415" s="183" t="str">
        <f t="shared" si="25"/>
        <v>X-4_9</v>
      </c>
      <c r="I415" s="183">
        <v>28</v>
      </c>
      <c r="J415" s="183" t="str">
        <f t="shared" si="26"/>
        <v>0105760330-414</v>
      </c>
      <c r="K415" s="32"/>
      <c r="L415" s="183">
        <v>7</v>
      </c>
      <c r="M415" s="219"/>
      <c r="N415" s="220"/>
      <c r="O415" s="220">
        <v>114</v>
      </c>
      <c r="P415" s="221"/>
    </row>
    <row r="416" spans="1:16" x14ac:dyDescent="0.35">
      <c r="A416" s="1" t="str">
        <f t="shared" si="24"/>
        <v>7-29</v>
      </c>
      <c r="B416" s="26">
        <v>415</v>
      </c>
      <c r="C416" s="215" t="s">
        <v>845</v>
      </c>
      <c r="D416" s="216" t="s">
        <v>846</v>
      </c>
      <c r="E416" s="217" t="s">
        <v>23</v>
      </c>
      <c r="F416" s="218" t="s">
        <v>828</v>
      </c>
      <c r="G416" s="183">
        <v>10</v>
      </c>
      <c r="H416" s="183" t="str">
        <f t="shared" si="25"/>
        <v>X-4_10</v>
      </c>
      <c r="I416" s="183">
        <v>29</v>
      </c>
      <c r="J416" s="183" t="str">
        <f t="shared" si="26"/>
        <v>0103552356-415</v>
      </c>
      <c r="K416" s="32"/>
      <c r="L416" s="183">
        <v>7</v>
      </c>
      <c r="M416" s="219"/>
      <c r="N416" s="220"/>
      <c r="O416" s="220">
        <v>115</v>
      </c>
      <c r="P416" s="221"/>
    </row>
    <row r="417" spans="1:16" x14ac:dyDescent="0.35">
      <c r="A417" s="1" t="str">
        <f t="shared" si="24"/>
        <v>7-30</v>
      </c>
      <c r="B417" s="26">
        <v>416</v>
      </c>
      <c r="C417" s="215" t="s">
        <v>847</v>
      </c>
      <c r="D417" s="216" t="s">
        <v>848</v>
      </c>
      <c r="E417" s="217" t="s">
        <v>13</v>
      </c>
      <c r="F417" s="218" t="s">
        <v>828</v>
      </c>
      <c r="G417" s="183">
        <v>11</v>
      </c>
      <c r="H417" s="183" t="str">
        <f t="shared" si="25"/>
        <v>X-4_11</v>
      </c>
      <c r="I417" s="183">
        <v>30</v>
      </c>
      <c r="J417" s="183" t="str">
        <f t="shared" si="26"/>
        <v>0108730356-416</v>
      </c>
      <c r="K417" s="32"/>
      <c r="L417" s="183">
        <v>7</v>
      </c>
      <c r="M417" s="219"/>
      <c r="N417" s="220"/>
      <c r="O417" s="220">
        <v>116</v>
      </c>
      <c r="P417" s="221"/>
    </row>
    <row r="418" spans="1:16" x14ac:dyDescent="0.35">
      <c r="A418" s="1" t="str">
        <f t="shared" si="24"/>
        <v>7-31</v>
      </c>
      <c r="B418" s="26">
        <v>417</v>
      </c>
      <c r="C418" s="222" t="s">
        <v>849</v>
      </c>
      <c r="D418" s="223" t="s">
        <v>850</v>
      </c>
      <c r="E418" s="224" t="s">
        <v>13</v>
      </c>
      <c r="F418" s="218" t="s">
        <v>828</v>
      </c>
      <c r="G418" s="183">
        <v>12</v>
      </c>
      <c r="H418" s="183" t="str">
        <f t="shared" si="25"/>
        <v>X-4_12</v>
      </c>
      <c r="I418" s="183">
        <v>31</v>
      </c>
      <c r="J418" s="183" t="str">
        <f t="shared" si="26"/>
        <v>0105587928-417</v>
      </c>
      <c r="K418" s="32"/>
      <c r="L418" s="183">
        <v>7</v>
      </c>
      <c r="M418" s="219"/>
      <c r="N418" s="220"/>
      <c r="O418" s="220">
        <v>117</v>
      </c>
      <c r="P418" s="221"/>
    </row>
    <row r="419" spans="1:16" x14ac:dyDescent="0.35">
      <c r="A419" s="1" t="str">
        <f t="shared" si="24"/>
        <v>7-32</v>
      </c>
      <c r="B419" s="26">
        <v>418</v>
      </c>
      <c r="C419" s="215" t="s">
        <v>851</v>
      </c>
      <c r="D419" s="216" t="s">
        <v>852</v>
      </c>
      <c r="E419" s="217" t="s">
        <v>23</v>
      </c>
      <c r="F419" s="218" t="s">
        <v>828</v>
      </c>
      <c r="G419" s="183">
        <v>13</v>
      </c>
      <c r="H419" s="183" t="str">
        <f t="shared" si="25"/>
        <v>X-4_13</v>
      </c>
      <c r="I419" s="183">
        <v>32</v>
      </c>
      <c r="J419" s="183" t="str">
        <f t="shared" si="26"/>
        <v>0104024390-418</v>
      </c>
      <c r="K419" s="32"/>
      <c r="L419" s="183">
        <v>7</v>
      </c>
      <c r="M419" s="219"/>
      <c r="N419" s="220"/>
      <c r="O419" s="220">
        <v>118</v>
      </c>
      <c r="P419" s="221"/>
    </row>
    <row r="420" spans="1:16" x14ac:dyDescent="0.35">
      <c r="A420" s="1" t="str">
        <f t="shared" si="24"/>
        <v>7-33</v>
      </c>
      <c r="B420" s="26">
        <v>419</v>
      </c>
      <c r="C420" s="215" t="s">
        <v>853</v>
      </c>
      <c r="D420" s="216" t="s">
        <v>854</v>
      </c>
      <c r="E420" s="217" t="s">
        <v>23</v>
      </c>
      <c r="F420" s="218" t="s">
        <v>828</v>
      </c>
      <c r="G420" s="183">
        <v>14</v>
      </c>
      <c r="H420" s="183" t="str">
        <f t="shared" si="25"/>
        <v>X-4_14</v>
      </c>
      <c r="I420" s="183">
        <v>33</v>
      </c>
      <c r="J420" s="183" t="str">
        <f t="shared" si="26"/>
        <v>0107857510-419</v>
      </c>
      <c r="K420" s="32"/>
      <c r="L420" s="183">
        <v>7</v>
      </c>
      <c r="M420" s="219"/>
      <c r="N420" s="220"/>
      <c r="O420" s="220">
        <v>119</v>
      </c>
      <c r="P420" s="221"/>
    </row>
    <row r="421" spans="1:16" x14ac:dyDescent="0.35">
      <c r="A421" s="1" t="str">
        <f t="shared" si="24"/>
        <v>8-17</v>
      </c>
      <c r="B421" s="26">
        <v>420</v>
      </c>
      <c r="C421" s="215" t="s">
        <v>855</v>
      </c>
      <c r="D421" s="216" t="s">
        <v>856</v>
      </c>
      <c r="E421" s="217" t="s">
        <v>23</v>
      </c>
      <c r="F421" s="218" t="s">
        <v>828</v>
      </c>
      <c r="G421" s="183">
        <v>15</v>
      </c>
      <c r="H421" s="183" t="str">
        <f t="shared" si="25"/>
        <v>X-4_15</v>
      </c>
      <c r="I421" s="32">
        <v>17</v>
      </c>
      <c r="J421" s="32" t="str">
        <f t="shared" si="26"/>
        <v>0098207069-420</v>
      </c>
      <c r="K421" s="32"/>
      <c r="L421" s="32">
        <v>8</v>
      </c>
      <c r="M421" s="219"/>
      <c r="N421" s="220"/>
      <c r="O421" s="220">
        <v>120</v>
      </c>
      <c r="P421" s="221"/>
    </row>
    <row r="422" spans="1:16" x14ac:dyDescent="0.35">
      <c r="A422" s="1" t="str">
        <f t="shared" si="24"/>
        <v>8-18</v>
      </c>
      <c r="B422" s="26">
        <v>421</v>
      </c>
      <c r="C422" s="215" t="s">
        <v>857</v>
      </c>
      <c r="D422" s="225" t="s">
        <v>858</v>
      </c>
      <c r="E422" s="226" t="s">
        <v>23</v>
      </c>
      <c r="F422" s="218" t="s">
        <v>828</v>
      </c>
      <c r="G422" s="183">
        <v>16</v>
      </c>
      <c r="H422" s="183" t="str">
        <f t="shared" si="25"/>
        <v>X-4_16</v>
      </c>
      <c r="I422" s="32">
        <v>18</v>
      </c>
      <c r="J422" s="32" t="str">
        <f t="shared" si="26"/>
        <v>0104552154-421</v>
      </c>
      <c r="K422" s="183"/>
      <c r="L422" s="32">
        <v>8</v>
      </c>
      <c r="M422" s="219"/>
      <c r="N422" s="220"/>
      <c r="O422" s="220">
        <v>121</v>
      </c>
      <c r="P422" s="221"/>
    </row>
    <row r="423" spans="1:16" x14ac:dyDescent="0.35">
      <c r="A423" s="1" t="str">
        <f t="shared" si="24"/>
        <v>8-19</v>
      </c>
      <c r="B423" s="26">
        <v>422</v>
      </c>
      <c r="C423" s="215" t="s">
        <v>859</v>
      </c>
      <c r="D423" s="216" t="s">
        <v>860</v>
      </c>
      <c r="E423" s="217" t="s">
        <v>23</v>
      </c>
      <c r="F423" s="218" t="s">
        <v>828</v>
      </c>
      <c r="G423" s="183">
        <v>17</v>
      </c>
      <c r="H423" s="183" t="str">
        <f t="shared" si="25"/>
        <v>X-4_17</v>
      </c>
      <c r="I423" s="32">
        <v>19</v>
      </c>
      <c r="J423" s="32" t="str">
        <f t="shared" si="26"/>
        <v>0091479684-422</v>
      </c>
      <c r="K423" s="183"/>
      <c r="L423" s="32">
        <v>8</v>
      </c>
      <c r="M423" s="219"/>
      <c r="N423" s="220"/>
      <c r="O423" s="220">
        <v>122</v>
      </c>
      <c r="P423" s="221"/>
    </row>
    <row r="424" spans="1:16" x14ac:dyDescent="0.35">
      <c r="A424" s="1" t="str">
        <f t="shared" si="24"/>
        <v>8-20</v>
      </c>
      <c r="B424" s="26">
        <v>423</v>
      </c>
      <c r="C424" s="215" t="s">
        <v>861</v>
      </c>
      <c r="D424" s="216" t="s">
        <v>862</v>
      </c>
      <c r="E424" s="217" t="s">
        <v>23</v>
      </c>
      <c r="F424" s="218" t="s">
        <v>828</v>
      </c>
      <c r="G424" s="183">
        <v>18</v>
      </c>
      <c r="H424" s="183" t="str">
        <f t="shared" si="25"/>
        <v>X-4_18</v>
      </c>
      <c r="I424" s="32">
        <v>20</v>
      </c>
      <c r="J424" s="32" t="str">
        <f t="shared" si="26"/>
        <v>0104443624-423</v>
      </c>
      <c r="K424" s="183"/>
      <c r="L424" s="32">
        <v>8</v>
      </c>
      <c r="M424" s="219"/>
      <c r="N424" s="220"/>
      <c r="O424" s="220">
        <v>123</v>
      </c>
      <c r="P424" s="221"/>
    </row>
    <row r="425" spans="1:16" x14ac:dyDescent="0.35">
      <c r="A425" s="1" t="str">
        <f t="shared" si="24"/>
        <v>8-21</v>
      </c>
      <c r="B425" s="26">
        <v>424</v>
      </c>
      <c r="C425" s="215" t="s">
        <v>863</v>
      </c>
      <c r="D425" s="216" t="s">
        <v>864</v>
      </c>
      <c r="E425" s="217" t="s">
        <v>23</v>
      </c>
      <c r="F425" s="218" t="s">
        <v>828</v>
      </c>
      <c r="G425" s="183">
        <v>19</v>
      </c>
      <c r="H425" s="183" t="str">
        <f t="shared" si="25"/>
        <v>X-4_19</v>
      </c>
      <c r="I425" s="32">
        <v>21</v>
      </c>
      <c r="J425" s="32" t="str">
        <f t="shared" si="26"/>
        <v>0091693753-424</v>
      </c>
      <c r="K425" s="183"/>
      <c r="L425" s="32">
        <v>8</v>
      </c>
      <c r="M425" s="219"/>
      <c r="N425" s="220"/>
      <c r="O425" s="220">
        <v>124</v>
      </c>
      <c r="P425" s="221"/>
    </row>
    <row r="426" spans="1:16" x14ac:dyDescent="0.35">
      <c r="A426" s="1" t="str">
        <f t="shared" si="24"/>
        <v>8-22</v>
      </c>
      <c r="B426" s="26">
        <v>425</v>
      </c>
      <c r="C426" s="215" t="s">
        <v>865</v>
      </c>
      <c r="D426" s="216" t="s">
        <v>866</v>
      </c>
      <c r="E426" s="217" t="s">
        <v>23</v>
      </c>
      <c r="F426" s="218" t="s">
        <v>828</v>
      </c>
      <c r="G426" s="183">
        <v>20</v>
      </c>
      <c r="H426" s="183" t="str">
        <f t="shared" si="25"/>
        <v>X-4_20</v>
      </c>
      <c r="I426" s="32">
        <v>22</v>
      </c>
      <c r="J426" s="32" t="str">
        <f t="shared" si="26"/>
        <v>0107590367-425</v>
      </c>
      <c r="K426" s="183"/>
      <c r="L426" s="32">
        <v>8</v>
      </c>
      <c r="M426" s="219"/>
      <c r="N426" s="220"/>
      <c r="O426" s="220">
        <v>125</v>
      </c>
      <c r="P426" s="221"/>
    </row>
    <row r="427" spans="1:16" x14ac:dyDescent="0.35">
      <c r="A427" s="1" t="str">
        <f t="shared" si="24"/>
        <v>8-23</v>
      </c>
      <c r="B427" s="26">
        <v>426</v>
      </c>
      <c r="C427" s="215" t="s">
        <v>867</v>
      </c>
      <c r="D427" s="216" t="s">
        <v>868</v>
      </c>
      <c r="E427" s="217" t="s">
        <v>23</v>
      </c>
      <c r="F427" s="218" t="s">
        <v>828</v>
      </c>
      <c r="G427" s="183">
        <v>21</v>
      </c>
      <c r="H427" s="183" t="str">
        <f t="shared" si="25"/>
        <v>X-4_21</v>
      </c>
      <c r="I427" s="32">
        <v>23</v>
      </c>
      <c r="J427" s="32" t="str">
        <f t="shared" si="26"/>
        <v>0095662763-426</v>
      </c>
      <c r="K427" s="183"/>
      <c r="L427" s="32">
        <v>8</v>
      </c>
      <c r="M427" s="219"/>
      <c r="N427" s="220"/>
      <c r="O427" s="220">
        <v>126</v>
      </c>
      <c r="P427" s="221"/>
    </row>
    <row r="428" spans="1:16" x14ac:dyDescent="0.35">
      <c r="A428" s="1" t="str">
        <f t="shared" si="24"/>
        <v>8-24</v>
      </c>
      <c r="B428" s="26">
        <v>427</v>
      </c>
      <c r="C428" s="215">
        <v>3098735103</v>
      </c>
      <c r="D428" s="225" t="s">
        <v>869</v>
      </c>
      <c r="E428" s="226" t="s">
        <v>23</v>
      </c>
      <c r="F428" s="218" t="s">
        <v>828</v>
      </c>
      <c r="G428" s="183">
        <v>22</v>
      </c>
      <c r="H428" s="183" t="str">
        <f t="shared" si="25"/>
        <v>X-4_22</v>
      </c>
      <c r="I428" s="32">
        <v>24</v>
      </c>
      <c r="J428" s="32" t="str">
        <f t="shared" si="26"/>
        <v>3098735103-427</v>
      </c>
      <c r="K428" s="183"/>
      <c r="L428" s="32">
        <v>8</v>
      </c>
      <c r="M428" s="219"/>
      <c r="N428" s="220"/>
      <c r="O428" s="220">
        <v>127</v>
      </c>
      <c r="P428" s="221"/>
    </row>
    <row r="429" spans="1:16" x14ac:dyDescent="0.35">
      <c r="A429" s="1" t="str">
        <f t="shared" si="24"/>
        <v>8-25</v>
      </c>
      <c r="B429" s="26">
        <v>428</v>
      </c>
      <c r="C429" s="215" t="s">
        <v>870</v>
      </c>
      <c r="D429" s="216" t="s">
        <v>871</v>
      </c>
      <c r="E429" s="217" t="s">
        <v>23</v>
      </c>
      <c r="F429" s="218" t="s">
        <v>828</v>
      </c>
      <c r="G429" s="183">
        <v>23</v>
      </c>
      <c r="H429" s="183" t="str">
        <f t="shared" si="25"/>
        <v>X-4_23</v>
      </c>
      <c r="I429" s="32">
        <v>25</v>
      </c>
      <c r="J429" s="32" t="str">
        <f t="shared" si="26"/>
        <v>0108294441-428</v>
      </c>
      <c r="K429" s="183"/>
      <c r="L429" s="32">
        <v>8</v>
      </c>
      <c r="M429" s="219"/>
      <c r="N429" s="220"/>
      <c r="O429" s="220">
        <v>128</v>
      </c>
      <c r="P429" s="221"/>
    </row>
    <row r="430" spans="1:16" x14ac:dyDescent="0.35">
      <c r="A430" s="1" t="str">
        <f t="shared" si="24"/>
        <v>8-26</v>
      </c>
      <c r="B430" s="26">
        <v>429</v>
      </c>
      <c r="C430" s="215" t="s">
        <v>872</v>
      </c>
      <c r="D430" s="216" t="s">
        <v>873</v>
      </c>
      <c r="E430" s="217" t="s">
        <v>13</v>
      </c>
      <c r="F430" s="218" t="s">
        <v>828</v>
      </c>
      <c r="G430" s="183">
        <v>24</v>
      </c>
      <c r="H430" s="183" t="str">
        <f t="shared" si="25"/>
        <v>X-4_24</v>
      </c>
      <c r="I430" s="32">
        <v>26</v>
      </c>
      <c r="J430" s="32" t="str">
        <f t="shared" si="26"/>
        <v>0116806372-429</v>
      </c>
      <c r="K430" s="183"/>
      <c r="L430" s="32">
        <v>8</v>
      </c>
      <c r="M430" s="219"/>
      <c r="N430" s="220"/>
      <c r="O430" s="220">
        <v>129</v>
      </c>
      <c r="P430" s="221"/>
    </row>
    <row r="431" spans="1:16" x14ac:dyDescent="0.35">
      <c r="A431" s="1" t="str">
        <f t="shared" si="24"/>
        <v>8-27</v>
      </c>
      <c r="B431" s="26">
        <v>430</v>
      </c>
      <c r="C431" s="215" t="s">
        <v>874</v>
      </c>
      <c r="D431" s="216" t="s">
        <v>875</v>
      </c>
      <c r="E431" s="217" t="s">
        <v>13</v>
      </c>
      <c r="F431" s="218" t="s">
        <v>828</v>
      </c>
      <c r="G431" s="183">
        <v>25</v>
      </c>
      <c r="H431" s="183" t="str">
        <f t="shared" si="25"/>
        <v>X-4_25</v>
      </c>
      <c r="I431" s="32">
        <v>27</v>
      </c>
      <c r="J431" s="32" t="str">
        <f t="shared" si="26"/>
        <v>0093316373-430</v>
      </c>
      <c r="K431" s="183"/>
      <c r="L431" s="32">
        <v>8</v>
      </c>
      <c r="M431" s="219"/>
      <c r="N431" s="220"/>
      <c r="O431" s="220">
        <v>130</v>
      </c>
      <c r="P431" s="221"/>
    </row>
    <row r="432" spans="1:16" x14ac:dyDescent="0.35">
      <c r="A432" s="1" t="str">
        <f t="shared" si="24"/>
        <v>8-28</v>
      </c>
      <c r="B432" s="26">
        <v>431</v>
      </c>
      <c r="C432" s="215">
        <v>3108534524</v>
      </c>
      <c r="D432" s="216" t="s">
        <v>876</v>
      </c>
      <c r="E432" s="217" t="s">
        <v>13</v>
      </c>
      <c r="F432" s="218" t="s">
        <v>828</v>
      </c>
      <c r="G432" s="183">
        <v>26</v>
      </c>
      <c r="H432" s="183" t="str">
        <f t="shared" si="25"/>
        <v>X-4_26</v>
      </c>
      <c r="I432" s="32">
        <v>28</v>
      </c>
      <c r="J432" s="32" t="str">
        <f t="shared" si="26"/>
        <v>3108534524-431</v>
      </c>
      <c r="K432" s="183"/>
      <c r="L432" s="32">
        <v>8</v>
      </c>
      <c r="M432" s="219"/>
      <c r="N432" s="220"/>
      <c r="O432" s="220">
        <v>131</v>
      </c>
      <c r="P432" s="221"/>
    </row>
    <row r="433" spans="1:16" x14ac:dyDescent="0.35">
      <c r="A433" s="1" t="str">
        <f t="shared" si="24"/>
        <v>8-29</v>
      </c>
      <c r="B433" s="26">
        <v>432</v>
      </c>
      <c r="C433" s="215" t="s">
        <v>877</v>
      </c>
      <c r="D433" s="216" t="s">
        <v>878</v>
      </c>
      <c r="E433" s="217" t="s">
        <v>13</v>
      </c>
      <c r="F433" s="218" t="s">
        <v>828</v>
      </c>
      <c r="G433" s="183">
        <v>27</v>
      </c>
      <c r="H433" s="183" t="str">
        <f t="shared" si="25"/>
        <v>X-4_27</v>
      </c>
      <c r="I433" s="32">
        <v>29</v>
      </c>
      <c r="J433" s="32" t="str">
        <f t="shared" si="26"/>
        <v>0106772692-432</v>
      </c>
      <c r="K433" s="183"/>
      <c r="L433" s="32">
        <v>8</v>
      </c>
      <c r="M433" s="219"/>
      <c r="N433" s="220"/>
      <c r="O433" s="220">
        <v>132</v>
      </c>
      <c r="P433" s="221"/>
    </row>
    <row r="434" spans="1:16" x14ac:dyDescent="0.35">
      <c r="A434" s="1" t="str">
        <f t="shared" si="24"/>
        <v>8-30</v>
      </c>
      <c r="B434" s="26">
        <v>433</v>
      </c>
      <c r="C434" s="215" t="s">
        <v>879</v>
      </c>
      <c r="D434" s="216" t="s">
        <v>880</v>
      </c>
      <c r="E434" s="217" t="s">
        <v>13</v>
      </c>
      <c r="F434" s="218" t="s">
        <v>828</v>
      </c>
      <c r="G434" s="183">
        <v>28</v>
      </c>
      <c r="H434" s="183" t="str">
        <f t="shared" si="25"/>
        <v>X-4_28</v>
      </c>
      <c r="I434" s="32">
        <v>30</v>
      </c>
      <c r="J434" s="32" t="str">
        <f t="shared" si="26"/>
        <v>0103538589-433</v>
      </c>
      <c r="K434" s="183"/>
      <c r="L434" s="32">
        <v>8</v>
      </c>
      <c r="M434" s="219"/>
      <c r="N434" s="220"/>
      <c r="O434" s="220">
        <v>133</v>
      </c>
      <c r="P434" s="221"/>
    </row>
    <row r="435" spans="1:16" x14ac:dyDescent="0.35">
      <c r="A435" s="1" t="str">
        <f t="shared" si="24"/>
        <v>8-31</v>
      </c>
      <c r="B435" s="26">
        <v>434</v>
      </c>
      <c r="C435" s="215">
        <v>3078608460</v>
      </c>
      <c r="D435" s="216" t="s">
        <v>881</v>
      </c>
      <c r="E435" s="217" t="s">
        <v>23</v>
      </c>
      <c r="F435" s="218" t="s">
        <v>828</v>
      </c>
      <c r="G435" s="183">
        <v>29</v>
      </c>
      <c r="H435" s="183" t="str">
        <f t="shared" si="25"/>
        <v>X-4_29</v>
      </c>
      <c r="I435" s="32">
        <v>31</v>
      </c>
      <c r="J435" s="32" t="str">
        <f t="shared" si="26"/>
        <v>3078608460-434</v>
      </c>
      <c r="K435" s="183"/>
      <c r="L435" s="32">
        <v>8</v>
      </c>
      <c r="M435" s="219"/>
      <c r="N435" s="220"/>
      <c r="O435" s="220">
        <v>134</v>
      </c>
      <c r="P435" s="221"/>
    </row>
    <row r="436" spans="1:16" x14ac:dyDescent="0.35">
      <c r="A436" s="1" t="str">
        <f t="shared" si="24"/>
        <v>8-32</v>
      </c>
      <c r="B436" s="26">
        <v>435</v>
      </c>
      <c r="C436" s="215" t="s">
        <v>882</v>
      </c>
      <c r="D436" s="216" t="s">
        <v>883</v>
      </c>
      <c r="E436" s="217" t="s">
        <v>13</v>
      </c>
      <c r="F436" s="218" t="s">
        <v>828</v>
      </c>
      <c r="G436" s="183">
        <v>30</v>
      </c>
      <c r="H436" s="183" t="str">
        <f t="shared" si="25"/>
        <v>X-4_30</v>
      </c>
      <c r="I436" s="32">
        <v>32</v>
      </c>
      <c r="J436" s="32" t="str">
        <f t="shared" si="26"/>
        <v>0107247883-435</v>
      </c>
      <c r="K436" s="183"/>
      <c r="L436" s="32">
        <v>8</v>
      </c>
      <c r="M436" s="219"/>
      <c r="N436" s="220"/>
      <c r="O436" s="220">
        <v>135</v>
      </c>
      <c r="P436" s="221"/>
    </row>
    <row r="437" spans="1:16" x14ac:dyDescent="0.35">
      <c r="A437" s="1" t="str">
        <f t="shared" si="24"/>
        <v>8-33</v>
      </c>
      <c r="B437" s="26">
        <v>436</v>
      </c>
      <c r="C437" s="215" t="s">
        <v>884</v>
      </c>
      <c r="D437" s="216" t="s">
        <v>885</v>
      </c>
      <c r="E437" s="227" t="s">
        <v>13</v>
      </c>
      <c r="F437" s="218" t="s">
        <v>828</v>
      </c>
      <c r="G437" s="183">
        <v>31</v>
      </c>
      <c r="H437" s="183" t="str">
        <f t="shared" si="25"/>
        <v>X-4_31</v>
      </c>
      <c r="I437" s="32">
        <v>33</v>
      </c>
      <c r="J437" s="32" t="str">
        <f t="shared" si="26"/>
        <v>0108964120-436</v>
      </c>
      <c r="K437" s="32"/>
      <c r="L437" s="32">
        <v>8</v>
      </c>
      <c r="M437" s="219"/>
      <c r="N437" s="220"/>
      <c r="O437" s="220">
        <v>136</v>
      </c>
      <c r="P437" s="221"/>
    </row>
    <row r="438" spans="1:16" x14ac:dyDescent="0.35">
      <c r="A438" s="1" t="str">
        <f t="shared" si="24"/>
        <v>9-17</v>
      </c>
      <c r="B438" s="26">
        <v>437</v>
      </c>
      <c r="C438" s="215" t="s">
        <v>886</v>
      </c>
      <c r="D438" s="216" t="s">
        <v>887</v>
      </c>
      <c r="E438" s="227" t="s">
        <v>13</v>
      </c>
      <c r="F438" s="218" t="s">
        <v>828</v>
      </c>
      <c r="G438" s="183">
        <v>32</v>
      </c>
      <c r="H438" s="183" t="str">
        <f t="shared" si="25"/>
        <v>X-4_32</v>
      </c>
      <c r="I438" s="183">
        <v>17</v>
      </c>
      <c r="J438" s="183" t="str">
        <f t="shared" si="26"/>
        <v>0106130129-437</v>
      </c>
      <c r="K438" s="32"/>
      <c r="L438" s="183">
        <v>9</v>
      </c>
      <c r="M438" s="219"/>
      <c r="N438" s="220"/>
      <c r="O438" s="220">
        <v>137</v>
      </c>
      <c r="P438" s="221"/>
    </row>
    <row r="439" spans="1:16" x14ac:dyDescent="0.35">
      <c r="A439" s="1" t="str">
        <f t="shared" si="24"/>
        <v>9-18</v>
      </c>
      <c r="B439" s="26">
        <v>438</v>
      </c>
      <c r="C439" s="215" t="s">
        <v>888</v>
      </c>
      <c r="D439" s="216" t="s">
        <v>889</v>
      </c>
      <c r="E439" s="227" t="s">
        <v>13</v>
      </c>
      <c r="F439" s="228" t="s">
        <v>828</v>
      </c>
      <c r="G439" s="183">
        <v>33</v>
      </c>
      <c r="H439" s="183" t="str">
        <f t="shared" si="25"/>
        <v>X-4_33</v>
      </c>
      <c r="I439" s="183">
        <v>18</v>
      </c>
      <c r="J439" s="183" t="str">
        <f t="shared" si="26"/>
        <v>0098497018-438</v>
      </c>
      <c r="K439" s="32"/>
      <c r="L439" s="183">
        <v>9</v>
      </c>
      <c r="M439" s="219"/>
      <c r="N439" s="220"/>
      <c r="O439" s="220">
        <v>138</v>
      </c>
      <c r="P439" s="221"/>
    </row>
    <row r="440" spans="1:16" x14ac:dyDescent="0.35">
      <c r="A440" s="1" t="str">
        <f t="shared" si="24"/>
        <v>9-19</v>
      </c>
      <c r="B440" s="26">
        <v>439</v>
      </c>
      <c r="C440" s="215" t="s">
        <v>890</v>
      </c>
      <c r="D440" s="216" t="s">
        <v>891</v>
      </c>
      <c r="E440" s="227" t="s">
        <v>23</v>
      </c>
      <c r="F440" s="218" t="s">
        <v>828</v>
      </c>
      <c r="G440" s="183">
        <v>34</v>
      </c>
      <c r="H440" s="183" t="str">
        <f t="shared" si="25"/>
        <v>X-4_34</v>
      </c>
      <c r="I440" s="183">
        <v>19</v>
      </c>
      <c r="J440" s="183" t="str">
        <f t="shared" si="26"/>
        <v>0102873990-439</v>
      </c>
      <c r="K440" s="32"/>
      <c r="L440" s="183">
        <v>9</v>
      </c>
      <c r="M440" s="219"/>
      <c r="N440" s="220"/>
      <c r="O440" s="220">
        <v>139</v>
      </c>
      <c r="P440" s="221"/>
    </row>
    <row r="441" spans="1:16" x14ac:dyDescent="0.35">
      <c r="A441" s="1" t="str">
        <f t="shared" si="24"/>
        <v>9-20</v>
      </c>
      <c r="B441" s="26">
        <v>440</v>
      </c>
      <c r="C441" s="222" t="s">
        <v>892</v>
      </c>
      <c r="D441" s="223" t="s">
        <v>893</v>
      </c>
      <c r="E441" s="229" t="s">
        <v>13</v>
      </c>
      <c r="F441" s="218" t="s">
        <v>828</v>
      </c>
      <c r="G441" s="183">
        <v>35</v>
      </c>
      <c r="H441" s="70" t="str">
        <f t="shared" si="25"/>
        <v>X-4_35</v>
      </c>
      <c r="I441" s="183">
        <v>20</v>
      </c>
      <c r="J441" s="183" t="str">
        <f t="shared" si="26"/>
        <v>0106937362-440</v>
      </c>
      <c r="K441" s="32"/>
      <c r="L441" s="183">
        <v>9</v>
      </c>
      <c r="M441" s="219"/>
      <c r="N441" s="220"/>
      <c r="O441" s="220">
        <v>140</v>
      </c>
      <c r="P441" s="221"/>
    </row>
    <row r="442" spans="1:16" x14ac:dyDescent="0.35">
      <c r="A442" s="1" t="str">
        <f t="shared" si="24"/>
        <v>9-21</v>
      </c>
      <c r="B442" s="26">
        <v>441</v>
      </c>
      <c r="C442" s="230" t="s">
        <v>894</v>
      </c>
      <c r="D442" s="231" t="s">
        <v>895</v>
      </c>
      <c r="E442" s="232" t="s">
        <v>23</v>
      </c>
      <c r="F442" s="77" t="s">
        <v>896</v>
      </c>
      <c r="G442" s="78">
        <v>1</v>
      </c>
      <c r="H442" s="78" t="str">
        <f t="shared" si="25"/>
        <v>X-5_1</v>
      </c>
      <c r="I442" s="183">
        <v>21</v>
      </c>
      <c r="J442" s="183" t="str">
        <f t="shared" si="26"/>
        <v>0101682710-441</v>
      </c>
      <c r="K442" s="4"/>
      <c r="L442" s="183">
        <v>9</v>
      </c>
      <c r="M442" s="79"/>
      <c r="N442" s="80"/>
      <c r="O442" s="80">
        <v>141</v>
      </c>
    </row>
    <row r="443" spans="1:16" x14ac:dyDescent="0.35">
      <c r="A443" s="1" t="str">
        <f t="shared" si="24"/>
        <v>9-22</v>
      </c>
      <c r="B443" s="26">
        <v>442</v>
      </c>
      <c r="C443" s="230" t="s">
        <v>897</v>
      </c>
      <c r="D443" s="231" t="s">
        <v>898</v>
      </c>
      <c r="E443" s="232" t="s">
        <v>13</v>
      </c>
      <c r="F443" s="77" t="s">
        <v>896</v>
      </c>
      <c r="G443" s="78">
        <v>2</v>
      </c>
      <c r="H443" s="78" t="str">
        <f t="shared" si="25"/>
        <v>X-5_2</v>
      </c>
      <c r="I443" s="183">
        <v>22</v>
      </c>
      <c r="J443" s="183" t="str">
        <f t="shared" si="26"/>
        <v>0096284609-442</v>
      </c>
      <c r="K443" s="4"/>
      <c r="L443" s="183">
        <v>9</v>
      </c>
      <c r="M443" s="79"/>
      <c r="N443" s="80"/>
      <c r="O443" s="80">
        <v>142</v>
      </c>
    </row>
    <row r="444" spans="1:16" x14ac:dyDescent="0.35">
      <c r="A444" s="1" t="str">
        <f t="shared" si="24"/>
        <v>9-23</v>
      </c>
      <c r="B444" s="26">
        <v>443</v>
      </c>
      <c r="C444" s="230" t="s">
        <v>899</v>
      </c>
      <c r="D444" s="231" t="s">
        <v>900</v>
      </c>
      <c r="E444" s="232" t="s">
        <v>23</v>
      </c>
      <c r="F444" s="77" t="s">
        <v>896</v>
      </c>
      <c r="G444" s="78">
        <v>3</v>
      </c>
      <c r="H444" s="78" t="str">
        <f t="shared" si="25"/>
        <v>X-5_3</v>
      </c>
      <c r="I444" s="183">
        <v>23</v>
      </c>
      <c r="J444" s="183" t="str">
        <f t="shared" si="26"/>
        <v>0104077090-443</v>
      </c>
      <c r="K444" s="4"/>
      <c r="L444" s="183">
        <v>9</v>
      </c>
      <c r="M444" s="79"/>
      <c r="N444" s="80"/>
      <c r="O444" s="80">
        <v>143</v>
      </c>
    </row>
    <row r="445" spans="1:16" x14ac:dyDescent="0.35">
      <c r="A445" s="1" t="str">
        <f t="shared" si="24"/>
        <v>9-24</v>
      </c>
      <c r="B445" s="26">
        <v>444</v>
      </c>
      <c r="C445" s="230" t="s">
        <v>901</v>
      </c>
      <c r="D445" s="231" t="s">
        <v>902</v>
      </c>
      <c r="E445" s="232" t="s">
        <v>13</v>
      </c>
      <c r="F445" s="77" t="s">
        <v>896</v>
      </c>
      <c r="G445" s="78">
        <v>4</v>
      </c>
      <c r="H445" s="78" t="str">
        <f t="shared" si="25"/>
        <v>X-5_4</v>
      </c>
      <c r="I445" s="183">
        <v>24</v>
      </c>
      <c r="J445" s="183" t="str">
        <f t="shared" si="26"/>
        <v>0083313416-444</v>
      </c>
      <c r="K445" s="4"/>
      <c r="L445" s="183">
        <v>9</v>
      </c>
      <c r="M445" s="79"/>
      <c r="N445" s="80"/>
      <c r="O445" s="80">
        <v>144</v>
      </c>
    </row>
    <row r="446" spans="1:16" x14ac:dyDescent="0.35">
      <c r="A446" s="1" t="str">
        <f t="shared" si="24"/>
        <v>9-25</v>
      </c>
      <c r="B446" s="26">
        <v>445</v>
      </c>
      <c r="C446" s="230" t="s">
        <v>903</v>
      </c>
      <c r="D446" s="231" t="s">
        <v>904</v>
      </c>
      <c r="E446" s="233" t="s">
        <v>23</v>
      </c>
      <c r="F446" s="77" t="s">
        <v>896</v>
      </c>
      <c r="G446" s="78">
        <v>5</v>
      </c>
      <c r="H446" s="78" t="str">
        <f t="shared" si="25"/>
        <v>X-5_5</v>
      </c>
      <c r="I446" s="183">
        <v>25</v>
      </c>
      <c r="J446" s="183" t="str">
        <f t="shared" si="26"/>
        <v>0097095652-445</v>
      </c>
      <c r="K446" s="4"/>
      <c r="L446" s="183">
        <v>9</v>
      </c>
      <c r="M446" s="79"/>
      <c r="N446" s="80"/>
      <c r="O446" s="80">
        <v>145</v>
      </c>
    </row>
    <row r="447" spans="1:16" x14ac:dyDescent="0.35">
      <c r="A447" s="1" t="str">
        <f t="shared" si="24"/>
        <v>9-26</v>
      </c>
      <c r="B447" s="26">
        <v>446</v>
      </c>
      <c r="C447" s="230" t="s">
        <v>905</v>
      </c>
      <c r="D447" s="231" t="s">
        <v>906</v>
      </c>
      <c r="E447" s="232" t="s">
        <v>13</v>
      </c>
      <c r="F447" s="77" t="s">
        <v>896</v>
      </c>
      <c r="G447" s="78">
        <v>6</v>
      </c>
      <c r="H447" s="78" t="str">
        <f t="shared" si="25"/>
        <v>X-5_6</v>
      </c>
      <c r="I447" s="183">
        <v>26</v>
      </c>
      <c r="J447" s="183" t="str">
        <f t="shared" si="26"/>
        <v>0095497693-446</v>
      </c>
      <c r="K447" s="4"/>
      <c r="L447" s="183">
        <v>9</v>
      </c>
      <c r="M447" s="79"/>
      <c r="N447" s="80"/>
      <c r="O447" s="80">
        <v>146</v>
      </c>
    </row>
    <row r="448" spans="1:16" x14ac:dyDescent="0.35">
      <c r="A448" s="1" t="str">
        <f t="shared" si="24"/>
        <v>9-27</v>
      </c>
      <c r="B448" s="26">
        <v>447</v>
      </c>
      <c r="C448" s="230" t="s">
        <v>907</v>
      </c>
      <c r="D448" s="231" t="s">
        <v>908</v>
      </c>
      <c r="E448" s="232" t="s">
        <v>13</v>
      </c>
      <c r="F448" s="77" t="s">
        <v>896</v>
      </c>
      <c r="G448" s="78">
        <v>7</v>
      </c>
      <c r="H448" s="78" t="str">
        <f t="shared" si="25"/>
        <v>X-5_7</v>
      </c>
      <c r="I448" s="183">
        <v>27</v>
      </c>
      <c r="J448" s="183" t="str">
        <f t="shared" si="26"/>
        <v>0092932098-447</v>
      </c>
      <c r="K448" s="4"/>
      <c r="L448" s="183">
        <v>9</v>
      </c>
      <c r="M448" s="79"/>
      <c r="N448" s="80"/>
      <c r="O448" s="80">
        <v>147</v>
      </c>
    </row>
    <row r="449" spans="1:16" x14ac:dyDescent="0.35">
      <c r="A449" s="1" t="str">
        <f t="shared" si="24"/>
        <v>9-28</v>
      </c>
      <c r="B449" s="26">
        <v>448</v>
      </c>
      <c r="C449" s="234" t="s">
        <v>909</v>
      </c>
      <c r="D449" s="235" t="s">
        <v>910</v>
      </c>
      <c r="E449" s="236" t="s">
        <v>13</v>
      </c>
      <c r="F449" s="77" t="s">
        <v>896</v>
      </c>
      <c r="G449" s="78">
        <v>8</v>
      </c>
      <c r="H449" s="78" t="str">
        <f t="shared" si="25"/>
        <v>X-5_8</v>
      </c>
      <c r="I449" s="183">
        <v>28</v>
      </c>
      <c r="J449" s="183" t="str">
        <f t="shared" si="26"/>
        <v>0103468901-448</v>
      </c>
      <c r="K449" s="4"/>
      <c r="L449" s="183">
        <v>9</v>
      </c>
      <c r="M449" s="79"/>
      <c r="N449" s="80"/>
      <c r="O449" s="80">
        <v>148</v>
      </c>
    </row>
    <row r="450" spans="1:16" x14ac:dyDescent="0.35">
      <c r="A450" s="1" t="str">
        <f t="shared" ref="A450:A513" si="27">L450&amp;"-"&amp;I450</f>
        <v>9-29</v>
      </c>
      <c r="B450" s="26">
        <v>449</v>
      </c>
      <c r="C450" s="230">
        <v>3082424803</v>
      </c>
      <c r="D450" s="231" t="s">
        <v>911</v>
      </c>
      <c r="E450" s="232" t="s">
        <v>23</v>
      </c>
      <c r="F450" s="77" t="s">
        <v>896</v>
      </c>
      <c r="G450" s="78">
        <v>9</v>
      </c>
      <c r="H450" s="78" t="str">
        <f t="shared" ref="H450:H489" si="28">F450&amp;"_"&amp;G450</f>
        <v>X-5_9</v>
      </c>
      <c r="I450" s="183">
        <v>29</v>
      </c>
      <c r="J450" s="183" t="str">
        <f t="shared" ref="J450:J513" si="29">C450&amp;"-"&amp;B450</f>
        <v>3082424803-449</v>
      </c>
      <c r="K450" s="4"/>
      <c r="L450" s="183">
        <v>9</v>
      </c>
      <c r="M450" s="79"/>
      <c r="N450" s="80"/>
      <c r="O450" s="80">
        <v>149</v>
      </c>
    </row>
    <row r="451" spans="1:16" x14ac:dyDescent="0.35">
      <c r="A451" s="1" t="str">
        <f t="shared" si="27"/>
        <v>9-30</v>
      </c>
      <c r="B451" s="26">
        <v>450</v>
      </c>
      <c r="C451" s="230" t="s">
        <v>912</v>
      </c>
      <c r="D451" s="231" t="s">
        <v>913</v>
      </c>
      <c r="E451" s="232" t="s">
        <v>13</v>
      </c>
      <c r="F451" s="77" t="s">
        <v>896</v>
      </c>
      <c r="G451" s="78">
        <v>10</v>
      </c>
      <c r="H451" s="78" t="str">
        <f t="shared" si="28"/>
        <v>X-5_10</v>
      </c>
      <c r="I451" s="183">
        <v>30</v>
      </c>
      <c r="J451" s="183" t="str">
        <f t="shared" si="29"/>
        <v>0108426777-450</v>
      </c>
      <c r="K451" s="4"/>
      <c r="L451" s="183">
        <v>9</v>
      </c>
      <c r="M451" s="79"/>
      <c r="N451" s="80"/>
      <c r="O451" s="80">
        <v>150</v>
      </c>
    </row>
    <row r="452" spans="1:16" x14ac:dyDescent="0.35">
      <c r="A452" s="1" t="str">
        <f t="shared" si="27"/>
        <v>9-31</v>
      </c>
      <c r="B452" s="26">
        <v>451</v>
      </c>
      <c r="C452" s="230" t="s">
        <v>914</v>
      </c>
      <c r="D452" s="231" t="s">
        <v>915</v>
      </c>
      <c r="E452" s="232" t="s">
        <v>13</v>
      </c>
      <c r="F452" s="77" t="s">
        <v>896</v>
      </c>
      <c r="G452" s="78">
        <v>11</v>
      </c>
      <c r="H452" s="78" t="str">
        <f t="shared" si="28"/>
        <v>X-5_11</v>
      </c>
      <c r="I452" s="183">
        <v>31</v>
      </c>
      <c r="J452" s="183" t="str">
        <f t="shared" si="29"/>
        <v>0097336367-451</v>
      </c>
      <c r="K452" s="237"/>
      <c r="L452" s="183">
        <v>9</v>
      </c>
      <c r="M452" s="79"/>
      <c r="N452" s="80"/>
      <c r="O452" s="80">
        <v>151</v>
      </c>
    </row>
    <row r="453" spans="1:16" x14ac:dyDescent="0.35">
      <c r="A453" s="1" t="str">
        <f t="shared" si="27"/>
        <v>9-32</v>
      </c>
      <c r="B453" s="26">
        <v>452</v>
      </c>
      <c r="C453" s="230" t="s">
        <v>916</v>
      </c>
      <c r="D453" s="231" t="s">
        <v>917</v>
      </c>
      <c r="E453" s="232" t="s">
        <v>13</v>
      </c>
      <c r="F453" s="77" t="s">
        <v>896</v>
      </c>
      <c r="G453" s="78">
        <v>12</v>
      </c>
      <c r="H453" s="78" t="str">
        <f t="shared" si="28"/>
        <v>X-5_12</v>
      </c>
      <c r="I453" s="183">
        <v>32</v>
      </c>
      <c r="J453" s="183" t="str">
        <f t="shared" si="29"/>
        <v>0097820984-452</v>
      </c>
      <c r="K453" s="237"/>
      <c r="L453" s="183">
        <v>9</v>
      </c>
      <c r="M453" s="79"/>
      <c r="N453" s="80"/>
      <c r="O453" s="80">
        <v>152</v>
      </c>
    </row>
    <row r="454" spans="1:16" x14ac:dyDescent="0.35">
      <c r="A454" s="1" t="str">
        <f t="shared" si="27"/>
        <v>9-33</v>
      </c>
      <c r="B454" s="26">
        <v>453</v>
      </c>
      <c r="C454" s="230" t="s">
        <v>918</v>
      </c>
      <c r="D454" s="231" t="s">
        <v>919</v>
      </c>
      <c r="E454" s="232" t="s">
        <v>13</v>
      </c>
      <c r="F454" s="77" t="s">
        <v>896</v>
      </c>
      <c r="G454" s="78">
        <v>13</v>
      </c>
      <c r="H454" s="78" t="str">
        <f t="shared" si="28"/>
        <v>X-5_13</v>
      </c>
      <c r="I454" s="183">
        <v>33</v>
      </c>
      <c r="J454" s="183" t="str">
        <f t="shared" si="29"/>
        <v>0097989759-453</v>
      </c>
      <c r="K454" s="237"/>
      <c r="L454" s="183">
        <v>9</v>
      </c>
      <c r="M454" s="79"/>
      <c r="N454" s="80"/>
      <c r="O454" s="80">
        <v>153</v>
      </c>
    </row>
    <row r="455" spans="1:16" x14ac:dyDescent="0.35">
      <c r="A455" s="1" t="str">
        <f t="shared" si="27"/>
        <v>10-17</v>
      </c>
      <c r="B455" s="26">
        <v>454</v>
      </c>
      <c r="C455" s="234" t="s">
        <v>920</v>
      </c>
      <c r="D455" s="235" t="s">
        <v>921</v>
      </c>
      <c r="E455" s="236" t="s">
        <v>13</v>
      </c>
      <c r="F455" s="77" t="s">
        <v>896</v>
      </c>
      <c r="G455" s="78">
        <v>14</v>
      </c>
      <c r="H455" s="78" t="str">
        <f t="shared" si="28"/>
        <v>X-5_14</v>
      </c>
      <c r="I455" s="32">
        <v>17</v>
      </c>
      <c r="J455" s="32" t="str">
        <f t="shared" si="29"/>
        <v>0101791594-454</v>
      </c>
      <c r="K455" s="237"/>
      <c r="L455" s="32">
        <v>10</v>
      </c>
      <c r="M455" s="79"/>
      <c r="N455" s="80"/>
      <c r="O455" s="80">
        <v>154</v>
      </c>
    </row>
    <row r="456" spans="1:16" x14ac:dyDescent="0.35">
      <c r="A456" s="1" t="str">
        <f t="shared" si="27"/>
        <v>10-18</v>
      </c>
      <c r="B456" s="26">
        <v>455</v>
      </c>
      <c r="C456" s="230" t="s">
        <v>922</v>
      </c>
      <c r="D456" s="231" t="s">
        <v>923</v>
      </c>
      <c r="E456" s="232" t="s">
        <v>23</v>
      </c>
      <c r="F456" s="77" t="s">
        <v>896</v>
      </c>
      <c r="G456" s="78">
        <v>15</v>
      </c>
      <c r="H456" s="78" t="str">
        <f t="shared" si="28"/>
        <v>X-5_15</v>
      </c>
      <c r="I456" s="32">
        <v>18</v>
      </c>
      <c r="J456" s="32" t="str">
        <f t="shared" si="29"/>
        <v>0102512324-455</v>
      </c>
      <c r="K456" s="237"/>
      <c r="L456" s="32">
        <v>10</v>
      </c>
      <c r="M456" s="79"/>
      <c r="N456" s="80"/>
      <c r="O456" s="80">
        <v>155</v>
      </c>
    </row>
    <row r="457" spans="1:16" x14ac:dyDescent="0.35">
      <c r="A457" s="1" t="str">
        <f t="shared" si="27"/>
        <v>10-19</v>
      </c>
      <c r="B457" s="26">
        <v>456</v>
      </c>
      <c r="C457" s="230" t="s">
        <v>924</v>
      </c>
      <c r="D457" s="231" t="s">
        <v>925</v>
      </c>
      <c r="E457" s="232" t="s">
        <v>23</v>
      </c>
      <c r="F457" s="77" t="s">
        <v>896</v>
      </c>
      <c r="G457" s="78">
        <v>16</v>
      </c>
      <c r="H457" s="78" t="str">
        <f t="shared" si="28"/>
        <v>X-5_16</v>
      </c>
      <c r="I457" s="32">
        <v>19</v>
      </c>
      <c r="J457" s="32" t="str">
        <f t="shared" si="29"/>
        <v>0092838509-456</v>
      </c>
      <c r="K457" s="237"/>
      <c r="L457" s="32">
        <v>10</v>
      </c>
      <c r="M457" s="79"/>
      <c r="N457" s="80"/>
      <c r="O457" s="80">
        <v>156</v>
      </c>
    </row>
    <row r="458" spans="1:16" x14ac:dyDescent="0.35">
      <c r="A458" s="1" t="str">
        <f t="shared" si="27"/>
        <v>10-20</v>
      </c>
      <c r="B458" s="26">
        <v>457</v>
      </c>
      <c r="C458" s="230" t="s">
        <v>926</v>
      </c>
      <c r="D458" s="231" t="s">
        <v>927</v>
      </c>
      <c r="E458" s="232" t="s">
        <v>23</v>
      </c>
      <c r="F458" s="77" t="s">
        <v>896</v>
      </c>
      <c r="G458" s="78">
        <v>17</v>
      </c>
      <c r="H458" s="78" t="str">
        <f t="shared" si="28"/>
        <v>X-5_17</v>
      </c>
      <c r="I458" s="32">
        <v>20</v>
      </c>
      <c r="J458" s="32" t="str">
        <f t="shared" si="29"/>
        <v>0099707073-457</v>
      </c>
      <c r="K458" s="237"/>
      <c r="L458" s="32">
        <v>10</v>
      </c>
      <c r="M458" s="79"/>
      <c r="N458" s="80"/>
      <c r="O458" s="80">
        <v>157</v>
      </c>
    </row>
    <row r="459" spans="1:16" x14ac:dyDescent="0.35">
      <c r="A459" s="1" t="str">
        <f t="shared" si="27"/>
        <v>10-21</v>
      </c>
      <c r="B459" s="26">
        <v>458</v>
      </c>
      <c r="C459" s="230" t="s">
        <v>928</v>
      </c>
      <c r="D459" s="231" t="s">
        <v>929</v>
      </c>
      <c r="E459" s="232" t="s">
        <v>23</v>
      </c>
      <c r="F459" s="77" t="s">
        <v>896</v>
      </c>
      <c r="G459" s="78">
        <v>18</v>
      </c>
      <c r="H459" s="78" t="str">
        <f t="shared" si="28"/>
        <v>X-5_18</v>
      </c>
      <c r="I459" s="32">
        <v>21</v>
      </c>
      <c r="J459" s="32" t="str">
        <f t="shared" si="29"/>
        <v>0094376474-458</v>
      </c>
      <c r="K459" s="237"/>
      <c r="L459" s="32">
        <v>10</v>
      </c>
      <c r="M459" s="79"/>
      <c r="N459" s="80"/>
      <c r="O459" s="80">
        <v>158</v>
      </c>
    </row>
    <row r="460" spans="1:16" x14ac:dyDescent="0.35">
      <c r="A460" s="1" t="str">
        <f t="shared" si="27"/>
        <v>10-22</v>
      </c>
      <c r="B460" s="26">
        <v>459</v>
      </c>
      <c r="C460" s="230" t="s">
        <v>930</v>
      </c>
      <c r="D460" s="231" t="s">
        <v>931</v>
      </c>
      <c r="E460" s="232" t="s">
        <v>23</v>
      </c>
      <c r="F460" s="77" t="s">
        <v>896</v>
      </c>
      <c r="G460" s="78">
        <v>19</v>
      </c>
      <c r="H460" s="78" t="str">
        <f t="shared" si="28"/>
        <v>X-5_19</v>
      </c>
      <c r="I460" s="32">
        <v>22</v>
      </c>
      <c r="J460" s="32" t="str">
        <f t="shared" si="29"/>
        <v>0104825552-459</v>
      </c>
      <c r="K460" s="237"/>
      <c r="L460" s="32">
        <v>10</v>
      </c>
      <c r="M460" s="79"/>
      <c r="N460" s="80"/>
      <c r="O460" s="80">
        <v>159</v>
      </c>
    </row>
    <row r="461" spans="1:16" x14ac:dyDescent="0.35">
      <c r="A461" s="1" t="str">
        <f t="shared" si="27"/>
        <v>10-23</v>
      </c>
      <c r="B461" s="26">
        <v>460</v>
      </c>
      <c r="C461" s="230" t="s">
        <v>932</v>
      </c>
      <c r="D461" s="231" t="s">
        <v>933</v>
      </c>
      <c r="E461" s="232" t="s">
        <v>23</v>
      </c>
      <c r="F461" s="77" t="s">
        <v>896</v>
      </c>
      <c r="G461" s="78">
        <v>20</v>
      </c>
      <c r="H461" s="78" t="str">
        <f t="shared" si="28"/>
        <v>X-5_20</v>
      </c>
      <c r="I461" s="32">
        <v>23</v>
      </c>
      <c r="J461" s="32" t="str">
        <f t="shared" si="29"/>
        <v>0102088865-460</v>
      </c>
      <c r="K461" s="237"/>
      <c r="L461" s="32">
        <v>10</v>
      </c>
      <c r="M461" s="79"/>
      <c r="N461" s="80"/>
      <c r="O461" s="80">
        <v>160</v>
      </c>
    </row>
    <row r="462" spans="1:16" x14ac:dyDescent="0.35">
      <c r="A462" s="1" t="str">
        <f t="shared" si="27"/>
        <v>10-24</v>
      </c>
      <c r="B462" s="26">
        <v>461</v>
      </c>
      <c r="C462" s="230" t="s">
        <v>934</v>
      </c>
      <c r="D462" s="231" t="s">
        <v>935</v>
      </c>
      <c r="E462" s="232" t="s">
        <v>23</v>
      </c>
      <c r="F462" s="77" t="s">
        <v>896</v>
      </c>
      <c r="G462" s="78">
        <v>21</v>
      </c>
      <c r="H462" s="78" t="str">
        <f t="shared" si="28"/>
        <v>X-5_21</v>
      </c>
      <c r="I462" s="32">
        <v>24</v>
      </c>
      <c r="J462" s="32" t="str">
        <f t="shared" si="29"/>
        <v>0109998661-461</v>
      </c>
      <c r="K462" s="237"/>
      <c r="L462" s="32">
        <v>10</v>
      </c>
      <c r="M462" s="79"/>
      <c r="N462" s="80"/>
      <c r="O462" s="80">
        <v>161</v>
      </c>
      <c r="P462" s="101"/>
    </row>
    <row r="463" spans="1:16" x14ac:dyDescent="0.35">
      <c r="A463" s="1" t="str">
        <f t="shared" si="27"/>
        <v>10-25</v>
      </c>
      <c r="B463" s="26">
        <v>462</v>
      </c>
      <c r="C463" s="230" t="s">
        <v>936</v>
      </c>
      <c r="D463" s="231" t="s">
        <v>937</v>
      </c>
      <c r="E463" s="232" t="s">
        <v>23</v>
      </c>
      <c r="F463" s="77" t="s">
        <v>896</v>
      </c>
      <c r="G463" s="78">
        <v>22</v>
      </c>
      <c r="H463" s="78" t="str">
        <f t="shared" si="28"/>
        <v>X-5_22</v>
      </c>
      <c r="I463" s="32">
        <v>25</v>
      </c>
      <c r="J463" s="32" t="str">
        <f t="shared" si="29"/>
        <v>0102057257-462</v>
      </c>
      <c r="K463" s="237"/>
      <c r="L463" s="32">
        <v>10</v>
      </c>
      <c r="M463" s="79"/>
      <c r="N463" s="80"/>
      <c r="O463" s="80">
        <v>162</v>
      </c>
    </row>
    <row r="464" spans="1:16" x14ac:dyDescent="0.35">
      <c r="A464" s="1" t="str">
        <f t="shared" si="27"/>
        <v>10-26</v>
      </c>
      <c r="B464" s="26">
        <v>463</v>
      </c>
      <c r="C464" s="230" t="s">
        <v>938</v>
      </c>
      <c r="D464" s="231" t="s">
        <v>939</v>
      </c>
      <c r="E464" s="232" t="s">
        <v>23</v>
      </c>
      <c r="F464" s="77" t="s">
        <v>896</v>
      </c>
      <c r="G464" s="78">
        <v>23</v>
      </c>
      <c r="H464" s="78" t="str">
        <f t="shared" si="28"/>
        <v>X-5_23</v>
      </c>
      <c r="I464" s="32">
        <v>26</v>
      </c>
      <c r="J464" s="32" t="str">
        <f t="shared" si="29"/>
        <v>0091001922-463</v>
      </c>
      <c r="K464" s="237"/>
      <c r="L464" s="32">
        <v>10</v>
      </c>
      <c r="M464" s="79"/>
      <c r="N464" s="80"/>
      <c r="O464" s="80">
        <v>163</v>
      </c>
    </row>
    <row r="465" spans="1:15" x14ac:dyDescent="0.35">
      <c r="A465" s="1" t="str">
        <f t="shared" si="27"/>
        <v>10-27</v>
      </c>
      <c r="B465" s="26">
        <v>464</v>
      </c>
      <c r="C465" s="230" t="s">
        <v>940</v>
      </c>
      <c r="D465" s="231" t="s">
        <v>941</v>
      </c>
      <c r="E465" s="232" t="s">
        <v>23</v>
      </c>
      <c r="F465" s="77" t="s">
        <v>896</v>
      </c>
      <c r="G465" s="78">
        <v>24</v>
      </c>
      <c r="H465" s="78" t="str">
        <f t="shared" si="28"/>
        <v>X-5_24</v>
      </c>
      <c r="I465" s="32">
        <v>27</v>
      </c>
      <c r="J465" s="32" t="str">
        <f t="shared" si="29"/>
        <v>0107885895-464</v>
      </c>
      <c r="K465" s="237"/>
      <c r="L465" s="32">
        <v>10</v>
      </c>
      <c r="M465" s="79"/>
      <c r="N465" s="80"/>
      <c r="O465" s="80">
        <v>164</v>
      </c>
    </row>
    <row r="466" spans="1:15" x14ac:dyDescent="0.35">
      <c r="A466" s="1" t="str">
        <f t="shared" si="27"/>
        <v>10-28</v>
      </c>
      <c r="B466" s="26">
        <v>465</v>
      </c>
      <c r="C466" s="230" t="s">
        <v>942</v>
      </c>
      <c r="D466" s="231" t="s">
        <v>943</v>
      </c>
      <c r="E466" s="232" t="s">
        <v>23</v>
      </c>
      <c r="F466" s="77" t="s">
        <v>896</v>
      </c>
      <c r="G466" s="78">
        <v>25</v>
      </c>
      <c r="H466" s="78" t="str">
        <f t="shared" si="28"/>
        <v>X-5_25</v>
      </c>
      <c r="I466" s="32">
        <v>28</v>
      </c>
      <c r="J466" s="32" t="str">
        <f t="shared" si="29"/>
        <v>0101215340-465</v>
      </c>
      <c r="K466" s="237"/>
      <c r="L466" s="32">
        <v>10</v>
      </c>
      <c r="M466" s="79"/>
      <c r="N466" s="80"/>
      <c r="O466" s="80">
        <v>165</v>
      </c>
    </row>
    <row r="467" spans="1:15" x14ac:dyDescent="0.35">
      <c r="A467" s="1" t="str">
        <f t="shared" si="27"/>
        <v>10-29</v>
      </c>
      <c r="B467" s="26">
        <v>466</v>
      </c>
      <c r="C467" s="230">
        <v>3090679528</v>
      </c>
      <c r="D467" s="231" t="s">
        <v>944</v>
      </c>
      <c r="E467" s="232" t="s">
        <v>13</v>
      </c>
      <c r="F467" s="77" t="s">
        <v>896</v>
      </c>
      <c r="G467" s="78">
        <v>26</v>
      </c>
      <c r="H467" s="78" t="str">
        <f t="shared" si="28"/>
        <v>X-5_26</v>
      </c>
      <c r="I467" s="32">
        <v>29</v>
      </c>
      <c r="J467" s="32" t="str">
        <f t="shared" si="29"/>
        <v>3090679528-466</v>
      </c>
      <c r="K467" s="70"/>
      <c r="L467" s="32">
        <v>10</v>
      </c>
      <c r="M467" s="79"/>
      <c r="N467" s="80"/>
      <c r="O467" s="80">
        <v>166</v>
      </c>
    </row>
    <row r="468" spans="1:15" x14ac:dyDescent="0.35">
      <c r="A468" s="1" t="str">
        <f t="shared" si="27"/>
        <v>10-30</v>
      </c>
      <c r="B468" s="26">
        <v>467</v>
      </c>
      <c r="C468" s="230" t="s">
        <v>945</v>
      </c>
      <c r="D468" s="231" t="s">
        <v>946</v>
      </c>
      <c r="E468" s="232" t="s">
        <v>13</v>
      </c>
      <c r="F468" s="77" t="s">
        <v>896</v>
      </c>
      <c r="G468" s="78">
        <v>27</v>
      </c>
      <c r="H468" s="78" t="str">
        <f t="shared" si="28"/>
        <v>X-5_27</v>
      </c>
      <c r="I468" s="32">
        <v>30</v>
      </c>
      <c r="J468" s="32" t="str">
        <f t="shared" si="29"/>
        <v>0106673731-467</v>
      </c>
      <c r="K468" s="70"/>
      <c r="L468" s="32">
        <v>10</v>
      </c>
      <c r="M468" s="79"/>
      <c r="N468" s="80"/>
      <c r="O468" s="80">
        <v>167</v>
      </c>
    </row>
    <row r="469" spans="1:15" x14ac:dyDescent="0.35">
      <c r="A469" s="1" t="str">
        <f t="shared" si="27"/>
        <v>10-31</v>
      </c>
      <c r="B469" s="26">
        <v>468</v>
      </c>
      <c r="C469" s="230" t="s">
        <v>947</v>
      </c>
      <c r="D469" s="231" t="s">
        <v>948</v>
      </c>
      <c r="E469" s="232" t="s">
        <v>13</v>
      </c>
      <c r="F469" s="77" t="s">
        <v>896</v>
      </c>
      <c r="G469" s="78">
        <v>28</v>
      </c>
      <c r="H469" s="78" t="str">
        <f t="shared" si="28"/>
        <v>X-5_28</v>
      </c>
      <c r="I469" s="32">
        <v>31</v>
      </c>
      <c r="J469" s="32" t="str">
        <f t="shared" si="29"/>
        <v>0104675912-468</v>
      </c>
      <c r="K469" s="70"/>
      <c r="L469" s="32">
        <v>10</v>
      </c>
      <c r="M469" s="79"/>
      <c r="N469" s="80"/>
      <c r="O469" s="80">
        <v>168</v>
      </c>
    </row>
    <row r="470" spans="1:15" x14ac:dyDescent="0.35">
      <c r="A470" s="1" t="str">
        <f t="shared" si="27"/>
        <v>10-32</v>
      </c>
      <c r="B470" s="26">
        <v>469</v>
      </c>
      <c r="C470" s="230">
        <v>3109130030</v>
      </c>
      <c r="D470" s="231" t="s">
        <v>949</v>
      </c>
      <c r="E470" s="232" t="s">
        <v>13</v>
      </c>
      <c r="F470" s="77" t="s">
        <v>896</v>
      </c>
      <c r="G470" s="78">
        <v>29</v>
      </c>
      <c r="H470" s="78" t="str">
        <f t="shared" si="28"/>
        <v>X-5_29</v>
      </c>
      <c r="I470" s="32">
        <v>32</v>
      </c>
      <c r="J470" s="32" t="str">
        <f t="shared" si="29"/>
        <v>3109130030-469</v>
      </c>
      <c r="K470" s="70"/>
      <c r="L470" s="32">
        <v>10</v>
      </c>
      <c r="M470" s="79"/>
      <c r="N470" s="80"/>
      <c r="O470" s="80">
        <v>169</v>
      </c>
    </row>
    <row r="471" spans="1:15" x14ac:dyDescent="0.35">
      <c r="A471" s="1" t="str">
        <f t="shared" si="27"/>
        <v>10-33</v>
      </c>
      <c r="B471" s="26">
        <v>470</v>
      </c>
      <c r="C471" s="230" t="s">
        <v>950</v>
      </c>
      <c r="D471" s="231" t="s">
        <v>951</v>
      </c>
      <c r="E471" s="232" t="s">
        <v>13</v>
      </c>
      <c r="F471" s="77" t="s">
        <v>896</v>
      </c>
      <c r="G471" s="78">
        <v>30</v>
      </c>
      <c r="H471" s="78" t="str">
        <f t="shared" si="28"/>
        <v>X-5_30</v>
      </c>
      <c r="I471" s="32">
        <v>33</v>
      </c>
      <c r="J471" s="32" t="str">
        <f t="shared" si="29"/>
        <v>0109038018-470</v>
      </c>
      <c r="K471" s="70"/>
      <c r="L471" s="32">
        <v>10</v>
      </c>
      <c r="M471" s="79"/>
      <c r="N471" s="80"/>
      <c r="O471" s="80">
        <v>170</v>
      </c>
    </row>
    <row r="472" spans="1:15" x14ac:dyDescent="0.35">
      <c r="A472" s="1" t="str">
        <f t="shared" si="27"/>
        <v>11-17</v>
      </c>
      <c r="B472" s="26">
        <v>471</v>
      </c>
      <c r="C472" s="230" t="s">
        <v>952</v>
      </c>
      <c r="D472" s="231" t="s">
        <v>953</v>
      </c>
      <c r="E472" s="238" t="s">
        <v>23</v>
      </c>
      <c r="F472" s="77" t="s">
        <v>896</v>
      </c>
      <c r="G472" s="78">
        <v>31</v>
      </c>
      <c r="H472" s="78" t="str">
        <f t="shared" si="28"/>
        <v>X-5_31</v>
      </c>
      <c r="I472" s="108">
        <v>17</v>
      </c>
      <c r="J472" s="108" t="str">
        <f t="shared" si="29"/>
        <v>0095333385-471</v>
      </c>
      <c r="K472" s="70"/>
      <c r="L472" s="108">
        <v>11</v>
      </c>
      <c r="M472" s="79"/>
      <c r="N472" s="80"/>
      <c r="O472" s="80">
        <v>171</v>
      </c>
    </row>
    <row r="473" spans="1:15" x14ac:dyDescent="0.35">
      <c r="A473" s="1" t="str">
        <f t="shared" si="27"/>
        <v>11-18</v>
      </c>
      <c r="B473" s="26">
        <v>472</v>
      </c>
      <c r="C473" s="230" t="s">
        <v>954</v>
      </c>
      <c r="D473" s="231" t="s">
        <v>955</v>
      </c>
      <c r="E473" s="238" t="s">
        <v>23</v>
      </c>
      <c r="F473" s="77" t="s">
        <v>896</v>
      </c>
      <c r="G473" s="78">
        <v>32</v>
      </c>
      <c r="H473" s="78" t="str">
        <f t="shared" si="28"/>
        <v>X-5_32</v>
      </c>
      <c r="I473" s="108">
        <v>18</v>
      </c>
      <c r="J473" s="108" t="str">
        <f t="shared" si="29"/>
        <v>0095348300-472</v>
      </c>
      <c r="K473" s="70"/>
      <c r="L473" s="108">
        <v>11</v>
      </c>
      <c r="M473" s="79"/>
      <c r="N473" s="80"/>
      <c r="O473" s="80">
        <v>172</v>
      </c>
    </row>
    <row r="474" spans="1:15" x14ac:dyDescent="0.35">
      <c r="A474" s="1" t="str">
        <f t="shared" si="27"/>
        <v>11-19</v>
      </c>
      <c r="B474" s="26">
        <v>473</v>
      </c>
      <c r="C474" s="230" t="s">
        <v>956</v>
      </c>
      <c r="D474" s="231" t="s">
        <v>957</v>
      </c>
      <c r="E474" s="238" t="s">
        <v>13</v>
      </c>
      <c r="F474" s="77" t="s">
        <v>896</v>
      </c>
      <c r="G474" s="78">
        <v>33</v>
      </c>
      <c r="H474" s="78" t="str">
        <f t="shared" si="28"/>
        <v>X-5_33</v>
      </c>
      <c r="I474" s="108">
        <v>19</v>
      </c>
      <c r="J474" s="108" t="str">
        <f t="shared" si="29"/>
        <v>0091445390-473</v>
      </c>
      <c r="K474" s="70"/>
      <c r="L474" s="108">
        <v>11</v>
      </c>
      <c r="M474" s="79"/>
      <c r="N474" s="80"/>
      <c r="O474" s="80">
        <v>173</v>
      </c>
    </row>
    <row r="475" spans="1:15" x14ac:dyDescent="0.35">
      <c r="A475" s="1" t="str">
        <f t="shared" si="27"/>
        <v>11-20</v>
      </c>
      <c r="B475" s="26">
        <v>474</v>
      </c>
      <c r="C475" s="230" t="s">
        <v>958</v>
      </c>
      <c r="D475" s="231" t="s">
        <v>959</v>
      </c>
      <c r="E475" s="238" t="s">
        <v>13</v>
      </c>
      <c r="F475" s="77" t="s">
        <v>896</v>
      </c>
      <c r="G475" s="78">
        <v>34</v>
      </c>
      <c r="H475" s="78" t="str">
        <f t="shared" si="28"/>
        <v>X-5_34</v>
      </c>
      <c r="I475" s="108">
        <v>20</v>
      </c>
      <c r="J475" s="108" t="str">
        <f t="shared" si="29"/>
        <v>0104946056-474</v>
      </c>
      <c r="K475" s="70"/>
      <c r="L475" s="108">
        <v>11</v>
      </c>
      <c r="M475" s="79"/>
      <c r="N475" s="80"/>
      <c r="O475" s="80">
        <v>174</v>
      </c>
    </row>
    <row r="476" spans="1:15" x14ac:dyDescent="0.35">
      <c r="A476" s="1" t="str">
        <f t="shared" si="27"/>
        <v>11-21</v>
      </c>
      <c r="B476" s="26">
        <v>475</v>
      </c>
      <c r="C476" s="230" t="s">
        <v>960</v>
      </c>
      <c r="D476" s="231" t="s">
        <v>961</v>
      </c>
      <c r="E476" s="238" t="s">
        <v>13</v>
      </c>
      <c r="F476" s="77" t="s">
        <v>896</v>
      </c>
      <c r="G476" s="78">
        <v>35</v>
      </c>
      <c r="H476" s="78" t="str">
        <f t="shared" si="28"/>
        <v>X-5_35</v>
      </c>
      <c r="I476" s="108">
        <v>21</v>
      </c>
      <c r="J476" s="108" t="str">
        <f t="shared" si="29"/>
        <v>0093414452-475</v>
      </c>
      <c r="K476" s="70"/>
      <c r="L476" s="108">
        <v>11</v>
      </c>
      <c r="M476" s="79"/>
      <c r="N476" s="80"/>
      <c r="O476" s="80">
        <v>175</v>
      </c>
    </row>
    <row r="477" spans="1:15" x14ac:dyDescent="0.35">
      <c r="A477" s="1" t="str">
        <f t="shared" si="27"/>
        <v>11-22</v>
      </c>
      <c r="B477" s="26">
        <v>476</v>
      </c>
      <c r="C477" s="230" t="s">
        <v>962</v>
      </c>
      <c r="D477" s="231" t="s">
        <v>963</v>
      </c>
      <c r="E477" s="238" t="s">
        <v>13</v>
      </c>
      <c r="F477" s="77" t="s">
        <v>896</v>
      </c>
      <c r="G477" s="78">
        <v>36</v>
      </c>
      <c r="H477" s="78" t="str">
        <f t="shared" si="28"/>
        <v>X-5_36</v>
      </c>
      <c r="I477" s="108">
        <v>22</v>
      </c>
      <c r="J477" s="108" t="str">
        <f t="shared" si="29"/>
        <v>0061772083-476</v>
      </c>
      <c r="K477" s="70"/>
      <c r="L477" s="108">
        <v>11</v>
      </c>
      <c r="M477" s="79"/>
      <c r="N477" s="80"/>
      <c r="O477" s="80">
        <v>176</v>
      </c>
    </row>
    <row r="478" spans="1:15" x14ac:dyDescent="0.35">
      <c r="A478" s="1" t="str">
        <f t="shared" si="27"/>
        <v>11-23</v>
      </c>
      <c r="B478" s="26">
        <v>477</v>
      </c>
      <c r="C478" s="143" t="s">
        <v>964</v>
      </c>
      <c r="D478" s="239" t="s">
        <v>965</v>
      </c>
      <c r="E478" s="240" t="s">
        <v>13</v>
      </c>
      <c r="F478" s="241" t="s">
        <v>966</v>
      </c>
      <c r="G478" s="147">
        <v>1</v>
      </c>
      <c r="H478" s="147" t="str">
        <f t="shared" si="28"/>
        <v>X-6_1</v>
      </c>
      <c r="I478" s="108">
        <v>23</v>
      </c>
      <c r="J478" s="108" t="str">
        <f t="shared" si="29"/>
        <v>0097669612-477</v>
      </c>
      <c r="K478" s="183"/>
      <c r="L478" s="108">
        <v>11</v>
      </c>
      <c r="M478" s="149"/>
      <c r="N478" s="150"/>
      <c r="O478" s="150">
        <v>177</v>
      </c>
    </row>
    <row r="479" spans="1:15" x14ac:dyDescent="0.35">
      <c r="A479" s="1" t="str">
        <f t="shared" si="27"/>
        <v>11-24</v>
      </c>
      <c r="B479" s="26">
        <v>478</v>
      </c>
      <c r="C479" s="143" t="s">
        <v>967</v>
      </c>
      <c r="D479" s="239" t="s">
        <v>968</v>
      </c>
      <c r="E479" s="240" t="s">
        <v>13</v>
      </c>
      <c r="F479" s="241" t="s">
        <v>966</v>
      </c>
      <c r="G479" s="147">
        <v>2</v>
      </c>
      <c r="H479" s="147" t="str">
        <f t="shared" si="28"/>
        <v>X-6_2</v>
      </c>
      <c r="I479" s="108">
        <v>24</v>
      </c>
      <c r="J479" s="108" t="str">
        <f t="shared" si="29"/>
        <v>0109035842-478</v>
      </c>
      <c r="K479" s="183"/>
      <c r="L479" s="108">
        <v>11</v>
      </c>
      <c r="M479" s="149"/>
      <c r="N479" s="150"/>
      <c r="O479" s="150">
        <v>178</v>
      </c>
    </row>
    <row r="480" spans="1:15" x14ac:dyDescent="0.35">
      <c r="A480" s="1" t="str">
        <f t="shared" si="27"/>
        <v>11-25</v>
      </c>
      <c r="B480" s="26">
        <v>479</v>
      </c>
      <c r="C480" s="143">
        <v>3103527929</v>
      </c>
      <c r="D480" s="239" t="s">
        <v>969</v>
      </c>
      <c r="E480" s="240" t="s">
        <v>13</v>
      </c>
      <c r="F480" s="241" t="s">
        <v>966</v>
      </c>
      <c r="G480" s="147">
        <v>3</v>
      </c>
      <c r="H480" s="147" t="str">
        <f t="shared" si="28"/>
        <v>X-6_3</v>
      </c>
      <c r="I480" s="108">
        <v>25</v>
      </c>
      <c r="J480" s="108" t="str">
        <f t="shared" si="29"/>
        <v>3103527929-479</v>
      </c>
      <c r="K480" s="183"/>
      <c r="L480" s="108">
        <v>11</v>
      </c>
      <c r="M480" s="149"/>
      <c r="N480" s="150"/>
      <c r="O480" s="150">
        <v>179</v>
      </c>
    </row>
    <row r="481" spans="1:15" x14ac:dyDescent="0.35">
      <c r="A481" s="1" t="str">
        <f t="shared" si="27"/>
        <v>11-26</v>
      </c>
      <c r="B481" s="26">
        <v>480</v>
      </c>
      <c r="C481" s="143" t="s">
        <v>970</v>
      </c>
      <c r="D481" s="239" t="s">
        <v>971</v>
      </c>
      <c r="E481" s="240" t="s">
        <v>13</v>
      </c>
      <c r="F481" s="241" t="s">
        <v>966</v>
      </c>
      <c r="G481" s="147">
        <v>4</v>
      </c>
      <c r="H481" s="147" t="str">
        <f t="shared" si="28"/>
        <v>X-6_4</v>
      </c>
      <c r="I481" s="108">
        <v>26</v>
      </c>
      <c r="J481" s="108" t="str">
        <f t="shared" si="29"/>
        <v>0107971690-480</v>
      </c>
      <c r="K481" s="183"/>
      <c r="L481" s="108">
        <v>11</v>
      </c>
      <c r="M481" s="149"/>
      <c r="N481" s="150"/>
      <c r="O481" s="150">
        <v>180</v>
      </c>
    </row>
    <row r="482" spans="1:15" x14ac:dyDescent="0.35">
      <c r="A482" s="1" t="str">
        <f t="shared" si="27"/>
        <v>11-27</v>
      </c>
      <c r="B482" s="26">
        <v>481</v>
      </c>
      <c r="C482" s="143">
        <v>3119684285</v>
      </c>
      <c r="D482" s="239" t="s">
        <v>972</v>
      </c>
      <c r="E482" s="240" t="s">
        <v>13</v>
      </c>
      <c r="F482" s="241" t="s">
        <v>966</v>
      </c>
      <c r="G482" s="147">
        <v>5</v>
      </c>
      <c r="H482" s="147" t="str">
        <f t="shared" si="28"/>
        <v>X-6_5</v>
      </c>
      <c r="I482" s="108">
        <v>27</v>
      </c>
      <c r="J482" s="108" t="str">
        <f t="shared" si="29"/>
        <v>3119684285-481</v>
      </c>
      <c r="K482" s="183"/>
      <c r="L482" s="108">
        <v>11</v>
      </c>
      <c r="M482" s="149"/>
      <c r="N482" s="150"/>
      <c r="O482" s="150">
        <v>181</v>
      </c>
    </row>
    <row r="483" spans="1:15" x14ac:dyDescent="0.35">
      <c r="A483" s="1" t="str">
        <f t="shared" si="27"/>
        <v>11-28</v>
      </c>
      <c r="B483" s="26">
        <v>482</v>
      </c>
      <c r="C483" s="143" t="s">
        <v>973</v>
      </c>
      <c r="D483" s="239" t="s">
        <v>974</v>
      </c>
      <c r="E483" s="240" t="s">
        <v>13</v>
      </c>
      <c r="F483" s="241" t="s">
        <v>966</v>
      </c>
      <c r="G483" s="147">
        <v>6</v>
      </c>
      <c r="H483" s="147" t="str">
        <f t="shared" si="28"/>
        <v>X-6_6</v>
      </c>
      <c r="I483" s="108">
        <v>28</v>
      </c>
      <c r="J483" s="108" t="str">
        <f t="shared" si="29"/>
        <v>0078084975-482</v>
      </c>
      <c r="K483" s="183"/>
      <c r="L483" s="108">
        <v>11</v>
      </c>
      <c r="M483" s="149"/>
      <c r="N483" s="150"/>
      <c r="O483" s="150">
        <v>182</v>
      </c>
    </row>
    <row r="484" spans="1:15" x14ac:dyDescent="0.35">
      <c r="A484" s="1" t="str">
        <f t="shared" si="27"/>
        <v>11-29</v>
      </c>
      <c r="B484" s="26">
        <v>483</v>
      </c>
      <c r="C484" s="143" t="s">
        <v>975</v>
      </c>
      <c r="D484" s="239" t="s">
        <v>976</v>
      </c>
      <c r="E484" s="240" t="s">
        <v>23</v>
      </c>
      <c r="F484" s="241" t="s">
        <v>966</v>
      </c>
      <c r="G484" s="147">
        <v>7</v>
      </c>
      <c r="H484" s="147" t="str">
        <f t="shared" si="28"/>
        <v>X-6_7</v>
      </c>
      <c r="I484" s="108">
        <v>29</v>
      </c>
      <c r="J484" s="108" t="str">
        <f t="shared" si="29"/>
        <v>0093028359-483</v>
      </c>
      <c r="K484" s="183"/>
      <c r="L484" s="108">
        <v>11</v>
      </c>
      <c r="M484" s="149"/>
      <c r="N484" s="150"/>
      <c r="O484" s="150">
        <v>183</v>
      </c>
    </row>
    <row r="485" spans="1:15" x14ac:dyDescent="0.35">
      <c r="A485" s="1" t="str">
        <f t="shared" si="27"/>
        <v>11-30</v>
      </c>
      <c r="B485" s="26">
        <v>484</v>
      </c>
      <c r="C485" s="143" t="s">
        <v>977</v>
      </c>
      <c r="D485" s="239" t="s">
        <v>978</v>
      </c>
      <c r="E485" s="240" t="s">
        <v>13</v>
      </c>
      <c r="F485" s="241" t="s">
        <v>966</v>
      </c>
      <c r="G485" s="147">
        <v>8</v>
      </c>
      <c r="H485" s="147" t="str">
        <f t="shared" si="28"/>
        <v>X-6_8</v>
      </c>
      <c r="I485" s="108">
        <v>30</v>
      </c>
      <c r="J485" s="108" t="str">
        <f t="shared" si="29"/>
        <v>0096269375-484</v>
      </c>
      <c r="K485" s="183"/>
      <c r="L485" s="108">
        <v>11</v>
      </c>
      <c r="M485" s="149"/>
      <c r="N485" s="150"/>
      <c r="O485" s="150">
        <v>184</v>
      </c>
    </row>
    <row r="486" spans="1:15" x14ac:dyDescent="0.35">
      <c r="A486" s="1" t="str">
        <f t="shared" si="27"/>
        <v>11-31</v>
      </c>
      <c r="B486" s="26">
        <v>485</v>
      </c>
      <c r="C486" s="143" t="s">
        <v>979</v>
      </c>
      <c r="D486" s="239" t="s">
        <v>980</v>
      </c>
      <c r="E486" s="240" t="s">
        <v>13</v>
      </c>
      <c r="F486" s="241" t="s">
        <v>966</v>
      </c>
      <c r="G486" s="147">
        <v>9</v>
      </c>
      <c r="H486" s="147" t="str">
        <f t="shared" si="28"/>
        <v>X-6_9</v>
      </c>
      <c r="I486" s="108">
        <v>31</v>
      </c>
      <c r="J486" s="108" t="str">
        <f t="shared" si="29"/>
        <v>0101349555-485</v>
      </c>
      <c r="K486" s="183"/>
      <c r="L486" s="108">
        <v>11</v>
      </c>
      <c r="M486" s="149"/>
      <c r="N486" s="150"/>
      <c r="O486" s="150">
        <v>185</v>
      </c>
    </row>
    <row r="487" spans="1:15" x14ac:dyDescent="0.35">
      <c r="A487" s="1" t="str">
        <f t="shared" si="27"/>
        <v>11-32</v>
      </c>
      <c r="B487" s="26">
        <v>486</v>
      </c>
      <c r="C487" s="143" t="s">
        <v>981</v>
      </c>
      <c r="D487" s="239" t="s">
        <v>982</v>
      </c>
      <c r="E487" s="240" t="s">
        <v>23</v>
      </c>
      <c r="F487" s="241" t="s">
        <v>966</v>
      </c>
      <c r="G487" s="147">
        <v>10</v>
      </c>
      <c r="H487" s="147" t="str">
        <f t="shared" si="28"/>
        <v>X-6_10</v>
      </c>
      <c r="I487" s="108">
        <v>32</v>
      </c>
      <c r="J487" s="108" t="str">
        <f t="shared" si="29"/>
        <v>0103235787-486</v>
      </c>
      <c r="K487" s="183"/>
      <c r="L487" s="108">
        <v>11</v>
      </c>
      <c r="M487" s="149"/>
      <c r="N487" s="150"/>
      <c r="O487" s="150">
        <v>186</v>
      </c>
    </row>
    <row r="488" spans="1:15" x14ac:dyDescent="0.35">
      <c r="A488" s="1" t="str">
        <f t="shared" si="27"/>
        <v>11-33</v>
      </c>
      <c r="B488" s="26">
        <v>487</v>
      </c>
      <c r="C488" s="143" t="s">
        <v>983</v>
      </c>
      <c r="D488" s="239" t="s">
        <v>984</v>
      </c>
      <c r="E488" s="240" t="s">
        <v>13</v>
      </c>
      <c r="F488" s="241" t="s">
        <v>966</v>
      </c>
      <c r="G488" s="147">
        <v>11</v>
      </c>
      <c r="H488" s="147" t="str">
        <f t="shared" si="28"/>
        <v>X-6_11</v>
      </c>
      <c r="I488" s="108">
        <v>33</v>
      </c>
      <c r="J488" s="108" t="str">
        <f t="shared" si="29"/>
        <v>0081318112-487</v>
      </c>
      <c r="K488" s="183"/>
      <c r="L488" s="108">
        <v>11</v>
      </c>
      <c r="M488" s="149"/>
      <c r="N488" s="150"/>
      <c r="O488" s="150">
        <v>187</v>
      </c>
    </row>
    <row r="489" spans="1:15" x14ac:dyDescent="0.35">
      <c r="A489" s="1" t="str">
        <f t="shared" si="27"/>
        <v>12-17</v>
      </c>
      <c r="B489" s="26">
        <v>488</v>
      </c>
      <c r="C489" s="143" t="s">
        <v>985</v>
      </c>
      <c r="D489" s="239" t="s">
        <v>986</v>
      </c>
      <c r="E489" s="240" t="s">
        <v>23</v>
      </c>
      <c r="F489" s="241" t="s">
        <v>966</v>
      </c>
      <c r="G489" s="147">
        <v>12</v>
      </c>
      <c r="H489" s="147" t="str">
        <f t="shared" si="28"/>
        <v>X-6_12</v>
      </c>
      <c r="I489" s="183">
        <v>17</v>
      </c>
      <c r="J489" s="183" t="str">
        <f t="shared" si="29"/>
        <v>0102285479-488</v>
      </c>
      <c r="K489" s="183"/>
      <c r="L489" s="183">
        <v>12</v>
      </c>
      <c r="M489" s="149"/>
      <c r="N489" s="150"/>
      <c r="O489" s="150">
        <v>188</v>
      </c>
    </row>
    <row r="490" spans="1:15" x14ac:dyDescent="0.35">
      <c r="A490" s="1" t="str">
        <f t="shared" si="27"/>
        <v>12-18</v>
      </c>
      <c r="B490" s="26">
        <v>489</v>
      </c>
      <c r="C490" s="143" t="s">
        <v>987</v>
      </c>
      <c r="D490" s="239" t="s">
        <v>988</v>
      </c>
      <c r="E490" s="240" t="s">
        <v>23</v>
      </c>
      <c r="F490" s="241" t="s">
        <v>966</v>
      </c>
      <c r="G490" s="147">
        <v>13</v>
      </c>
      <c r="H490" s="147" t="str">
        <f>F490&amp;"_"&amp;G490</f>
        <v>X-6_13</v>
      </c>
      <c r="I490" s="183">
        <v>18</v>
      </c>
      <c r="J490" s="183" t="str">
        <f t="shared" si="29"/>
        <v>0107223384-489</v>
      </c>
      <c r="K490" s="183"/>
      <c r="L490" s="183">
        <v>12</v>
      </c>
      <c r="M490" s="149"/>
      <c r="N490" s="150"/>
      <c r="O490" s="150">
        <v>189</v>
      </c>
    </row>
    <row r="491" spans="1:15" x14ac:dyDescent="0.35">
      <c r="A491" s="1" t="str">
        <f t="shared" si="27"/>
        <v>12-19</v>
      </c>
      <c r="B491" s="26">
        <v>490</v>
      </c>
      <c r="C491" s="143" t="s">
        <v>989</v>
      </c>
      <c r="D491" s="239" t="s">
        <v>990</v>
      </c>
      <c r="E491" s="240" t="s">
        <v>23</v>
      </c>
      <c r="F491" s="241" t="s">
        <v>966</v>
      </c>
      <c r="G491" s="147">
        <v>14</v>
      </c>
      <c r="H491" s="147" t="str">
        <f>F491&amp;"_"&amp;G491</f>
        <v>X-6_14</v>
      </c>
      <c r="I491" s="183">
        <v>19</v>
      </c>
      <c r="J491" s="183" t="str">
        <f t="shared" si="29"/>
        <v>0103208993-490</v>
      </c>
      <c r="K491" s="183"/>
      <c r="L491" s="183">
        <v>12</v>
      </c>
      <c r="M491" s="149"/>
      <c r="N491" s="150"/>
      <c r="O491" s="150">
        <v>190</v>
      </c>
    </row>
    <row r="492" spans="1:15" x14ac:dyDescent="0.35">
      <c r="A492" s="1" t="str">
        <f t="shared" si="27"/>
        <v>12-20</v>
      </c>
      <c r="B492" s="26">
        <v>491</v>
      </c>
      <c r="C492" s="143" t="s">
        <v>991</v>
      </c>
      <c r="D492" s="239" t="s">
        <v>992</v>
      </c>
      <c r="E492" s="240" t="s">
        <v>23</v>
      </c>
      <c r="F492" s="241" t="s">
        <v>966</v>
      </c>
      <c r="G492" s="147">
        <v>15</v>
      </c>
      <c r="H492" s="147" t="str">
        <f t="shared" ref="H492:H555" si="30">F492&amp;"_"&amp;G492</f>
        <v>X-6_15</v>
      </c>
      <c r="I492" s="183">
        <v>20</v>
      </c>
      <c r="J492" s="183" t="str">
        <f t="shared" si="29"/>
        <v>0102884984-491</v>
      </c>
      <c r="K492" s="183"/>
      <c r="L492" s="183">
        <v>12</v>
      </c>
      <c r="M492" s="149"/>
      <c r="N492" s="150"/>
      <c r="O492" s="150">
        <v>191</v>
      </c>
    </row>
    <row r="493" spans="1:15" x14ac:dyDescent="0.35">
      <c r="A493" s="1" t="str">
        <f t="shared" si="27"/>
        <v>12-21</v>
      </c>
      <c r="B493" s="26">
        <v>492</v>
      </c>
      <c r="C493" s="143" t="s">
        <v>993</v>
      </c>
      <c r="D493" s="239" t="s">
        <v>994</v>
      </c>
      <c r="E493" s="240" t="s">
        <v>23</v>
      </c>
      <c r="F493" s="241" t="s">
        <v>966</v>
      </c>
      <c r="G493" s="147">
        <v>16</v>
      </c>
      <c r="H493" s="147" t="str">
        <f t="shared" si="30"/>
        <v>X-6_16</v>
      </c>
      <c r="I493" s="183">
        <v>21</v>
      </c>
      <c r="J493" s="183" t="str">
        <f t="shared" si="29"/>
        <v>0106090318-492</v>
      </c>
      <c r="K493" s="183"/>
      <c r="L493" s="183">
        <v>12</v>
      </c>
      <c r="M493" s="149"/>
      <c r="N493" s="150"/>
      <c r="O493" s="150">
        <v>192</v>
      </c>
    </row>
    <row r="494" spans="1:15" x14ac:dyDescent="0.35">
      <c r="A494" s="1" t="str">
        <f t="shared" si="27"/>
        <v>12-22</v>
      </c>
      <c r="B494" s="26">
        <v>493</v>
      </c>
      <c r="C494" s="143" t="s">
        <v>995</v>
      </c>
      <c r="D494" s="239" t="s">
        <v>996</v>
      </c>
      <c r="E494" s="240" t="s">
        <v>23</v>
      </c>
      <c r="F494" s="241" t="s">
        <v>966</v>
      </c>
      <c r="G494" s="147">
        <v>17</v>
      </c>
      <c r="H494" s="147" t="str">
        <f t="shared" si="30"/>
        <v>X-6_17</v>
      </c>
      <c r="I494" s="183">
        <v>22</v>
      </c>
      <c r="J494" s="183" t="str">
        <f t="shared" si="29"/>
        <v>0095935907-493</v>
      </c>
      <c r="K494" s="183"/>
      <c r="L494" s="183">
        <v>12</v>
      </c>
      <c r="M494" s="149"/>
      <c r="N494" s="150"/>
      <c r="O494" s="150">
        <v>193</v>
      </c>
    </row>
    <row r="495" spans="1:15" x14ac:dyDescent="0.35">
      <c r="A495" s="1" t="str">
        <f t="shared" si="27"/>
        <v>12-23</v>
      </c>
      <c r="B495" s="26">
        <v>494</v>
      </c>
      <c r="C495" s="143" t="s">
        <v>997</v>
      </c>
      <c r="D495" s="239" t="s">
        <v>998</v>
      </c>
      <c r="E495" s="240" t="s">
        <v>23</v>
      </c>
      <c r="F495" s="241" t="s">
        <v>966</v>
      </c>
      <c r="G495" s="147">
        <v>18</v>
      </c>
      <c r="H495" s="147" t="str">
        <f t="shared" si="30"/>
        <v>X-6_18</v>
      </c>
      <c r="I495" s="183">
        <v>23</v>
      </c>
      <c r="J495" s="183" t="str">
        <f t="shared" si="29"/>
        <v>0091994803-494</v>
      </c>
      <c r="K495" s="183"/>
      <c r="L495" s="183">
        <v>12</v>
      </c>
      <c r="M495" s="149"/>
      <c r="N495" s="150"/>
      <c r="O495" s="150">
        <v>194</v>
      </c>
    </row>
    <row r="496" spans="1:15" x14ac:dyDescent="0.35">
      <c r="A496" s="1" t="str">
        <f t="shared" si="27"/>
        <v>12-24</v>
      </c>
      <c r="B496" s="26">
        <v>495</v>
      </c>
      <c r="C496" s="143" t="s">
        <v>999</v>
      </c>
      <c r="D496" s="239" t="s">
        <v>1000</v>
      </c>
      <c r="E496" s="240" t="s">
        <v>23</v>
      </c>
      <c r="F496" s="241" t="s">
        <v>966</v>
      </c>
      <c r="G496" s="147">
        <v>19</v>
      </c>
      <c r="H496" s="147" t="str">
        <f t="shared" si="30"/>
        <v>X-6_19</v>
      </c>
      <c r="I496" s="183">
        <v>24</v>
      </c>
      <c r="J496" s="183" t="str">
        <f t="shared" si="29"/>
        <v>0107321286-495</v>
      </c>
      <c r="K496" s="183"/>
      <c r="L496" s="183">
        <v>12</v>
      </c>
      <c r="M496" s="149"/>
      <c r="N496" s="150"/>
      <c r="O496" s="150">
        <v>195</v>
      </c>
    </row>
    <row r="497" spans="1:15" x14ac:dyDescent="0.35">
      <c r="A497" s="1" t="str">
        <f t="shared" si="27"/>
        <v>12-25</v>
      </c>
      <c r="B497" s="26">
        <v>496</v>
      </c>
      <c r="C497" s="143" t="s">
        <v>1001</v>
      </c>
      <c r="D497" s="239" t="s">
        <v>1002</v>
      </c>
      <c r="E497" s="240" t="s">
        <v>23</v>
      </c>
      <c r="F497" s="241" t="s">
        <v>966</v>
      </c>
      <c r="G497" s="147">
        <v>20</v>
      </c>
      <c r="H497" s="147" t="str">
        <f t="shared" si="30"/>
        <v>X-6_20</v>
      </c>
      <c r="I497" s="183">
        <v>25</v>
      </c>
      <c r="J497" s="183" t="str">
        <f t="shared" si="29"/>
        <v>0091973721-496</v>
      </c>
      <c r="K497" s="108"/>
      <c r="L497" s="183">
        <v>12</v>
      </c>
      <c r="M497" s="149"/>
      <c r="N497" s="150"/>
      <c r="O497" s="150">
        <v>196</v>
      </c>
    </row>
    <row r="498" spans="1:15" x14ac:dyDescent="0.35">
      <c r="A498" s="1" t="str">
        <f t="shared" si="27"/>
        <v>12-26</v>
      </c>
      <c r="B498" s="26">
        <v>497</v>
      </c>
      <c r="C498" s="143" t="s">
        <v>1003</v>
      </c>
      <c r="D498" s="239" t="s">
        <v>1004</v>
      </c>
      <c r="E498" s="240" t="s">
        <v>23</v>
      </c>
      <c r="F498" s="241" t="s">
        <v>966</v>
      </c>
      <c r="G498" s="147">
        <v>21</v>
      </c>
      <c r="H498" s="147" t="str">
        <f t="shared" si="30"/>
        <v>X-6_21</v>
      </c>
      <c r="I498" s="183">
        <v>26</v>
      </c>
      <c r="J498" s="183" t="str">
        <f t="shared" si="29"/>
        <v>0106980486-497</v>
      </c>
      <c r="K498" s="108"/>
      <c r="L498" s="183">
        <v>12</v>
      </c>
      <c r="M498" s="149"/>
      <c r="N498" s="150"/>
      <c r="O498" s="150">
        <v>197</v>
      </c>
    </row>
    <row r="499" spans="1:15" x14ac:dyDescent="0.35">
      <c r="A499" s="1" t="str">
        <f t="shared" si="27"/>
        <v>12-27</v>
      </c>
      <c r="B499" s="26">
        <v>498</v>
      </c>
      <c r="C499" s="143" t="s">
        <v>1005</v>
      </c>
      <c r="D499" s="239" t="s">
        <v>1006</v>
      </c>
      <c r="E499" s="240" t="s">
        <v>23</v>
      </c>
      <c r="F499" s="241" t="s">
        <v>966</v>
      </c>
      <c r="G499" s="147">
        <v>22</v>
      </c>
      <c r="H499" s="147" t="str">
        <f t="shared" si="30"/>
        <v>X-6_22</v>
      </c>
      <c r="I499" s="183">
        <v>27</v>
      </c>
      <c r="J499" s="183" t="str">
        <f t="shared" si="29"/>
        <v>0103798061-498</v>
      </c>
      <c r="K499" s="108"/>
      <c r="L499" s="183">
        <v>12</v>
      </c>
      <c r="M499" s="149"/>
      <c r="N499" s="150"/>
      <c r="O499" s="150">
        <v>198</v>
      </c>
    </row>
    <row r="500" spans="1:15" x14ac:dyDescent="0.35">
      <c r="A500" s="1" t="str">
        <f t="shared" si="27"/>
        <v>12-28</v>
      </c>
      <c r="B500" s="26">
        <v>499</v>
      </c>
      <c r="C500" s="143" t="s">
        <v>1007</v>
      </c>
      <c r="D500" s="239" t="s">
        <v>1008</v>
      </c>
      <c r="E500" s="240" t="s">
        <v>23</v>
      </c>
      <c r="F500" s="241" t="s">
        <v>966</v>
      </c>
      <c r="G500" s="147">
        <v>23</v>
      </c>
      <c r="H500" s="147" t="str">
        <f t="shared" si="30"/>
        <v>X-6_23</v>
      </c>
      <c r="I500" s="183">
        <v>28</v>
      </c>
      <c r="J500" s="183" t="str">
        <f t="shared" si="29"/>
        <v>0107464205-499</v>
      </c>
      <c r="K500" s="108"/>
      <c r="L500" s="183">
        <v>12</v>
      </c>
      <c r="M500" s="149"/>
      <c r="N500" s="150"/>
      <c r="O500" s="150">
        <v>199</v>
      </c>
    </row>
    <row r="501" spans="1:15" x14ac:dyDescent="0.35">
      <c r="A501" s="1" t="str">
        <f t="shared" si="27"/>
        <v>12-29</v>
      </c>
      <c r="B501" s="26">
        <v>500</v>
      </c>
      <c r="C501" s="143" t="s">
        <v>1009</v>
      </c>
      <c r="D501" s="239" t="s">
        <v>1010</v>
      </c>
      <c r="E501" s="240" t="s">
        <v>13</v>
      </c>
      <c r="F501" s="241" t="s">
        <v>966</v>
      </c>
      <c r="G501" s="147">
        <v>24</v>
      </c>
      <c r="H501" s="147" t="str">
        <f t="shared" si="30"/>
        <v>X-6_24</v>
      </c>
      <c r="I501" s="183">
        <v>29</v>
      </c>
      <c r="J501" s="183" t="str">
        <f t="shared" si="29"/>
        <v>0106627850-500</v>
      </c>
      <c r="K501" s="108"/>
      <c r="L501" s="183">
        <v>12</v>
      </c>
      <c r="M501" s="149"/>
      <c r="N501" s="150"/>
      <c r="O501" s="150">
        <v>200</v>
      </c>
    </row>
    <row r="502" spans="1:15" x14ac:dyDescent="0.35">
      <c r="A502" s="1" t="str">
        <f t="shared" si="27"/>
        <v>12-30</v>
      </c>
      <c r="B502" s="26">
        <v>501</v>
      </c>
      <c r="C502" s="143" t="s">
        <v>1011</v>
      </c>
      <c r="D502" s="239" t="s">
        <v>1012</v>
      </c>
      <c r="E502" s="240" t="s">
        <v>13</v>
      </c>
      <c r="F502" s="241" t="s">
        <v>966</v>
      </c>
      <c r="G502" s="147">
        <v>25</v>
      </c>
      <c r="H502" s="147" t="str">
        <f t="shared" si="30"/>
        <v>X-6_25</v>
      </c>
      <c r="I502" s="183">
        <v>30</v>
      </c>
      <c r="J502" s="183" t="str">
        <f t="shared" si="29"/>
        <v>0097712147-501</v>
      </c>
      <c r="K502" s="108"/>
      <c r="L502" s="183">
        <v>12</v>
      </c>
      <c r="M502" s="149"/>
      <c r="N502" s="150"/>
      <c r="O502" s="150">
        <v>201</v>
      </c>
    </row>
    <row r="503" spans="1:15" x14ac:dyDescent="0.35">
      <c r="A503" s="1" t="str">
        <f t="shared" si="27"/>
        <v>12-31</v>
      </c>
      <c r="B503" s="26">
        <v>502</v>
      </c>
      <c r="C503" s="143" t="s">
        <v>1013</v>
      </c>
      <c r="D503" s="239" t="s">
        <v>1014</v>
      </c>
      <c r="E503" s="240" t="s">
        <v>23</v>
      </c>
      <c r="F503" s="241" t="s">
        <v>966</v>
      </c>
      <c r="G503" s="147">
        <v>26</v>
      </c>
      <c r="H503" s="147" t="str">
        <f t="shared" si="30"/>
        <v>X-6_26</v>
      </c>
      <c r="I503" s="183">
        <v>31</v>
      </c>
      <c r="J503" s="183" t="str">
        <f t="shared" si="29"/>
        <v>0093890342-502</v>
      </c>
      <c r="K503" s="108"/>
      <c r="L503" s="183">
        <v>12</v>
      </c>
      <c r="M503" s="149"/>
      <c r="N503" s="150"/>
      <c r="O503" s="150">
        <v>202</v>
      </c>
    </row>
    <row r="504" spans="1:15" x14ac:dyDescent="0.35">
      <c r="A504" s="1" t="str">
        <f t="shared" si="27"/>
        <v>12-32</v>
      </c>
      <c r="B504" s="26">
        <v>503</v>
      </c>
      <c r="C504" s="143" t="s">
        <v>1015</v>
      </c>
      <c r="D504" s="239" t="s">
        <v>1016</v>
      </c>
      <c r="E504" s="240" t="s">
        <v>23</v>
      </c>
      <c r="F504" s="241" t="s">
        <v>966</v>
      </c>
      <c r="G504" s="147">
        <v>27</v>
      </c>
      <c r="H504" s="147" t="str">
        <f t="shared" si="30"/>
        <v>X-6_27</v>
      </c>
      <c r="I504" s="183">
        <v>32</v>
      </c>
      <c r="J504" s="183" t="str">
        <f t="shared" si="29"/>
        <v>0093682263-503</v>
      </c>
      <c r="K504" s="108"/>
      <c r="L504" s="183">
        <v>12</v>
      </c>
      <c r="M504" s="149"/>
      <c r="N504" s="150"/>
      <c r="O504" s="150">
        <v>203</v>
      </c>
    </row>
    <row r="505" spans="1:15" x14ac:dyDescent="0.35">
      <c r="A505" s="1" t="str">
        <f t="shared" si="27"/>
        <v>12-33</v>
      </c>
      <c r="B505" s="26">
        <v>504</v>
      </c>
      <c r="C505" s="143" t="s">
        <v>1017</v>
      </c>
      <c r="D505" s="239" t="s">
        <v>1018</v>
      </c>
      <c r="E505" s="240" t="s">
        <v>23</v>
      </c>
      <c r="F505" s="241" t="s">
        <v>966</v>
      </c>
      <c r="G505" s="147">
        <v>28</v>
      </c>
      <c r="H505" s="147" t="str">
        <f t="shared" si="30"/>
        <v>X-6_28</v>
      </c>
      <c r="I505" s="183">
        <v>33</v>
      </c>
      <c r="J505" s="183" t="str">
        <f t="shared" si="29"/>
        <v>0107729941-504</v>
      </c>
      <c r="K505" s="108"/>
      <c r="L505" s="183">
        <v>12</v>
      </c>
      <c r="M505" s="149"/>
      <c r="N505" s="150"/>
      <c r="O505" s="150">
        <v>204</v>
      </c>
    </row>
    <row r="506" spans="1:15" x14ac:dyDescent="0.35">
      <c r="A506" s="1" t="str">
        <f t="shared" si="27"/>
        <v>13-17</v>
      </c>
      <c r="B506" s="26">
        <v>505</v>
      </c>
      <c r="C506" s="143" t="s">
        <v>1019</v>
      </c>
      <c r="D506" s="239" t="s">
        <v>1020</v>
      </c>
      <c r="E506" s="240" t="s">
        <v>13</v>
      </c>
      <c r="F506" s="241" t="s">
        <v>966</v>
      </c>
      <c r="G506" s="147">
        <v>29</v>
      </c>
      <c r="H506" s="147" t="str">
        <f t="shared" si="30"/>
        <v>X-6_29</v>
      </c>
      <c r="I506" s="31">
        <v>17</v>
      </c>
      <c r="J506" s="31" t="str">
        <f t="shared" si="29"/>
        <v>0098757513-505</v>
      </c>
      <c r="K506" s="108"/>
      <c r="L506" s="31">
        <v>13</v>
      </c>
      <c r="M506" s="149"/>
      <c r="N506" s="150"/>
      <c r="O506" s="150">
        <v>205</v>
      </c>
    </row>
    <row r="507" spans="1:15" x14ac:dyDescent="0.35">
      <c r="A507" s="1" t="str">
        <f t="shared" si="27"/>
        <v>13-18</v>
      </c>
      <c r="B507" s="26">
        <v>506</v>
      </c>
      <c r="C507" s="143" t="s">
        <v>1021</v>
      </c>
      <c r="D507" s="239" t="s">
        <v>1022</v>
      </c>
      <c r="E507" s="240" t="s">
        <v>13</v>
      </c>
      <c r="F507" s="241" t="s">
        <v>966</v>
      </c>
      <c r="G507" s="147">
        <v>30</v>
      </c>
      <c r="H507" s="147" t="str">
        <f t="shared" si="30"/>
        <v>X-6_30</v>
      </c>
      <c r="I507" s="31">
        <v>18</v>
      </c>
      <c r="J507" s="31" t="str">
        <f t="shared" si="29"/>
        <v>0104438025-506</v>
      </c>
      <c r="K507" s="108"/>
      <c r="L507" s="31">
        <v>13</v>
      </c>
      <c r="M507" s="149"/>
      <c r="N507" s="150"/>
      <c r="O507" s="150">
        <v>206</v>
      </c>
    </row>
    <row r="508" spans="1:15" x14ac:dyDescent="0.35">
      <c r="A508" s="1" t="str">
        <f t="shared" si="27"/>
        <v>13-19</v>
      </c>
      <c r="B508" s="26">
        <v>507</v>
      </c>
      <c r="C508" s="143" t="s">
        <v>958</v>
      </c>
      <c r="D508" s="239" t="s">
        <v>1023</v>
      </c>
      <c r="E508" s="242" t="s">
        <v>13</v>
      </c>
      <c r="F508" s="241" t="s">
        <v>966</v>
      </c>
      <c r="G508" s="147">
        <v>31</v>
      </c>
      <c r="H508" s="147" t="str">
        <f t="shared" si="30"/>
        <v>X-6_31</v>
      </c>
      <c r="I508" s="31">
        <v>19</v>
      </c>
      <c r="J508" s="31" t="str">
        <f t="shared" si="29"/>
        <v>0104946056-507</v>
      </c>
      <c r="K508" s="108"/>
      <c r="L508" s="31">
        <v>13</v>
      </c>
      <c r="M508" s="149"/>
      <c r="N508" s="150"/>
      <c r="O508" s="150">
        <v>207</v>
      </c>
    </row>
    <row r="509" spans="1:15" x14ac:dyDescent="0.35">
      <c r="A509" s="1" t="str">
        <f t="shared" si="27"/>
        <v>13-20</v>
      </c>
      <c r="B509" s="26">
        <v>508</v>
      </c>
      <c r="C509" s="143" t="s">
        <v>1024</v>
      </c>
      <c r="D509" s="239" t="s">
        <v>1025</v>
      </c>
      <c r="E509" s="242" t="s">
        <v>13</v>
      </c>
      <c r="F509" s="241" t="s">
        <v>966</v>
      </c>
      <c r="G509" s="147">
        <v>32</v>
      </c>
      <c r="H509" s="147" t="str">
        <f t="shared" si="30"/>
        <v>X-6_32</v>
      </c>
      <c r="I509" s="31">
        <v>20</v>
      </c>
      <c r="J509" s="31" t="str">
        <f t="shared" si="29"/>
        <v>0094073356-508</v>
      </c>
      <c r="K509" s="108"/>
      <c r="L509" s="31">
        <v>13</v>
      </c>
      <c r="M509" s="149"/>
      <c r="N509" s="150"/>
      <c r="O509" s="150">
        <v>208</v>
      </c>
    </row>
    <row r="510" spans="1:15" x14ac:dyDescent="0.35">
      <c r="A510" s="1" t="str">
        <f t="shared" si="27"/>
        <v>13-21</v>
      </c>
      <c r="B510" s="26">
        <v>509</v>
      </c>
      <c r="C510" s="143" t="s">
        <v>1026</v>
      </c>
      <c r="D510" s="239" t="s">
        <v>1027</v>
      </c>
      <c r="E510" s="242" t="s">
        <v>13</v>
      </c>
      <c r="F510" s="241" t="s">
        <v>966</v>
      </c>
      <c r="G510" s="147">
        <v>33</v>
      </c>
      <c r="H510" s="147" t="str">
        <f t="shared" si="30"/>
        <v>X-6_33</v>
      </c>
      <c r="I510" s="31">
        <v>21</v>
      </c>
      <c r="J510" s="31" t="str">
        <f t="shared" si="29"/>
        <v>0093365830-509</v>
      </c>
      <c r="K510" s="108"/>
      <c r="L510" s="31">
        <v>13</v>
      </c>
      <c r="M510" s="149"/>
      <c r="N510" s="150"/>
      <c r="O510" s="150">
        <v>209</v>
      </c>
    </row>
    <row r="511" spans="1:15" x14ac:dyDescent="0.35">
      <c r="A511" s="1" t="str">
        <f t="shared" si="27"/>
        <v>13-22</v>
      </c>
      <c r="B511" s="26">
        <v>510</v>
      </c>
      <c r="C511" s="143" t="s">
        <v>1028</v>
      </c>
      <c r="D511" s="239" t="s">
        <v>1029</v>
      </c>
      <c r="E511" s="242" t="s">
        <v>13</v>
      </c>
      <c r="F511" s="241" t="s">
        <v>966</v>
      </c>
      <c r="G511" s="147">
        <v>34</v>
      </c>
      <c r="H511" s="147" t="str">
        <f t="shared" si="30"/>
        <v>X-6_34</v>
      </c>
      <c r="I511" s="31">
        <v>22</v>
      </c>
      <c r="J511" s="31" t="str">
        <f t="shared" si="29"/>
        <v>0104081881-510</v>
      </c>
      <c r="K511" s="108"/>
      <c r="L511" s="31">
        <v>13</v>
      </c>
      <c r="M511" s="149"/>
      <c r="N511" s="150"/>
      <c r="O511" s="150">
        <v>210</v>
      </c>
    </row>
    <row r="512" spans="1:15" x14ac:dyDescent="0.35">
      <c r="A512" s="1" t="str">
        <f t="shared" si="27"/>
        <v>13-23</v>
      </c>
      <c r="B512" s="26">
        <v>511</v>
      </c>
      <c r="C512" s="143" t="s">
        <v>1030</v>
      </c>
      <c r="D512" s="239" t="s">
        <v>1031</v>
      </c>
      <c r="E512" s="242" t="s">
        <v>13</v>
      </c>
      <c r="F512" s="241" t="s">
        <v>966</v>
      </c>
      <c r="G512" s="147">
        <v>35</v>
      </c>
      <c r="H512" s="147" t="str">
        <f t="shared" si="30"/>
        <v>X-6_35</v>
      </c>
      <c r="I512" s="31">
        <v>23</v>
      </c>
      <c r="J512" s="31" t="str">
        <f t="shared" si="29"/>
        <v>0099435633-511</v>
      </c>
      <c r="K512" s="183"/>
      <c r="L512" s="31">
        <v>13</v>
      </c>
      <c r="M512" s="149"/>
      <c r="N512" s="150"/>
      <c r="O512" s="150">
        <v>211</v>
      </c>
    </row>
    <row r="513" spans="1:16" x14ac:dyDescent="0.35">
      <c r="A513" s="1" t="str">
        <f t="shared" si="27"/>
        <v>13-24</v>
      </c>
      <c r="B513" s="26">
        <v>512</v>
      </c>
      <c r="C513" s="243" t="s">
        <v>1032</v>
      </c>
      <c r="D513" s="244" t="s">
        <v>1033</v>
      </c>
      <c r="E513" s="245" t="s">
        <v>13</v>
      </c>
      <c r="F513" s="241" t="s">
        <v>966</v>
      </c>
      <c r="G513" s="147">
        <v>36</v>
      </c>
      <c r="H513" s="147" t="str">
        <f t="shared" si="30"/>
        <v>X-6_36</v>
      </c>
      <c r="I513" s="31">
        <v>24</v>
      </c>
      <c r="J513" s="31" t="str">
        <f t="shared" si="29"/>
        <v>0095166808-512</v>
      </c>
      <c r="K513" s="183"/>
      <c r="L513" s="31">
        <v>13</v>
      </c>
      <c r="M513" s="149"/>
      <c r="N513" s="150"/>
      <c r="O513" s="150">
        <v>212</v>
      </c>
    </row>
    <row r="514" spans="1:16" x14ac:dyDescent="0.35">
      <c r="A514" s="1" t="str">
        <f t="shared" ref="A514:A577" si="31">L514&amp;"-"&amp;I514</f>
        <v>13-25</v>
      </c>
      <c r="B514" s="26">
        <v>513</v>
      </c>
      <c r="C514" s="246" t="s">
        <v>1034</v>
      </c>
      <c r="D514" s="247" t="s">
        <v>1035</v>
      </c>
      <c r="E514" s="248" t="s">
        <v>13</v>
      </c>
      <c r="F514" s="249" t="s">
        <v>1036</v>
      </c>
      <c r="G514" s="250">
        <v>1</v>
      </c>
      <c r="H514" s="250" t="str">
        <f t="shared" si="30"/>
        <v>X-7_1</v>
      </c>
      <c r="I514" s="31">
        <v>25</v>
      </c>
      <c r="J514" s="31" t="str">
        <f t="shared" ref="J514:J577" si="32">C514&amp;"-"&amp;B514</f>
        <v>0099172915-513</v>
      </c>
      <c r="K514" s="70"/>
      <c r="L514" s="31">
        <v>13</v>
      </c>
      <c r="M514" s="251"/>
      <c r="N514" s="252"/>
      <c r="O514" s="252">
        <v>213</v>
      </c>
    </row>
    <row r="515" spans="1:16" x14ac:dyDescent="0.35">
      <c r="A515" s="1" t="str">
        <f t="shared" si="31"/>
        <v>13-26</v>
      </c>
      <c r="B515" s="26">
        <v>514</v>
      </c>
      <c r="C515" s="246" t="s">
        <v>1037</v>
      </c>
      <c r="D515" s="247" t="s">
        <v>1038</v>
      </c>
      <c r="E515" s="248" t="s">
        <v>23</v>
      </c>
      <c r="F515" s="249" t="s">
        <v>1036</v>
      </c>
      <c r="G515" s="250">
        <v>2</v>
      </c>
      <c r="H515" s="250" t="str">
        <f t="shared" si="30"/>
        <v>X-7_2</v>
      </c>
      <c r="I515" s="31">
        <v>26</v>
      </c>
      <c r="J515" s="31" t="str">
        <f t="shared" si="32"/>
        <v>0094022444-514</v>
      </c>
      <c r="K515" s="70"/>
      <c r="L515" s="31">
        <v>13</v>
      </c>
      <c r="M515" s="251"/>
      <c r="N515" s="252"/>
      <c r="O515" s="252">
        <v>214</v>
      </c>
    </row>
    <row r="516" spans="1:16" x14ac:dyDescent="0.35">
      <c r="A516" s="1" t="str">
        <f t="shared" si="31"/>
        <v>13-27</v>
      </c>
      <c r="B516" s="26">
        <v>515</v>
      </c>
      <c r="C516" s="253" t="s">
        <v>1039</v>
      </c>
      <c r="D516" s="254" t="s">
        <v>1040</v>
      </c>
      <c r="E516" s="255" t="s">
        <v>23</v>
      </c>
      <c r="F516" s="249" t="s">
        <v>1036</v>
      </c>
      <c r="G516" s="250">
        <v>3</v>
      </c>
      <c r="H516" s="250" t="str">
        <f t="shared" si="30"/>
        <v>X-7_3</v>
      </c>
      <c r="I516" s="31">
        <v>27</v>
      </c>
      <c r="J516" s="31" t="str">
        <f t="shared" si="32"/>
        <v>007526520-515</v>
      </c>
      <c r="K516" s="70"/>
      <c r="L516" s="31">
        <v>13</v>
      </c>
      <c r="M516" s="251"/>
      <c r="N516" s="252"/>
      <c r="O516" s="252">
        <v>215</v>
      </c>
    </row>
    <row r="517" spans="1:16" x14ac:dyDescent="0.35">
      <c r="A517" s="1" t="str">
        <f t="shared" si="31"/>
        <v>13-28</v>
      </c>
      <c r="B517" s="26">
        <v>516</v>
      </c>
      <c r="C517" s="246" t="s">
        <v>1041</v>
      </c>
      <c r="D517" s="247" t="s">
        <v>1042</v>
      </c>
      <c r="E517" s="248" t="s">
        <v>23</v>
      </c>
      <c r="F517" s="249" t="s">
        <v>1036</v>
      </c>
      <c r="G517" s="250">
        <v>4</v>
      </c>
      <c r="H517" s="250" t="str">
        <f t="shared" si="30"/>
        <v>X-7_4</v>
      </c>
      <c r="I517" s="31">
        <v>28</v>
      </c>
      <c r="J517" s="31" t="str">
        <f t="shared" si="32"/>
        <v>0105647661-516</v>
      </c>
      <c r="K517" s="70"/>
      <c r="L517" s="31">
        <v>13</v>
      </c>
      <c r="M517" s="251"/>
      <c r="N517" s="252"/>
      <c r="O517" s="252">
        <v>216</v>
      </c>
    </row>
    <row r="518" spans="1:16" x14ac:dyDescent="0.35">
      <c r="A518" s="1" t="str">
        <f t="shared" si="31"/>
        <v>13-29</v>
      </c>
      <c r="B518" s="26">
        <v>517</v>
      </c>
      <c r="C518" s="246" t="s">
        <v>1043</v>
      </c>
      <c r="D518" s="247" t="s">
        <v>1044</v>
      </c>
      <c r="E518" s="248" t="s">
        <v>13</v>
      </c>
      <c r="F518" s="249" t="s">
        <v>1036</v>
      </c>
      <c r="G518" s="250">
        <v>5</v>
      </c>
      <c r="H518" s="250" t="str">
        <f t="shared" si="30"/>
        <v>X-7_5</v>
      </c>
      <c r="I518" s="31">
        <v>29</v>
      </c>
      <c r="J518" s="31" t="str">
        <f t="shared" si="32"/>
        <v>0093020379-517</v>
      </c>
      <c r="K518" s="70"/>
      <c r="L518" s="31">
        <v>13</v>
      </c>
      <c r="M518" s="251"/>
      <c r="N518" s="252"/>
      <c r="O518" s="252">
        <v>217</v>
      </c>
    </row>
    <row r="519" spans="1:16" x14ac:dyDescent="0.35">
      <c r="A519" s="1" t="str">
        <f t="shared" si="31"/>
        <v>13-30</v>
      </c>
      <c r="B519" s="26">
        <v>518</v>
      </c>
      <c r="C519" s="246" t="s">
        <v>1045</v>
      </c>
      <c r="D519" s="247" t="s">
        <v>1046</v>
      </c>
      <c r="E519" s="248" t="s">
        <v>23</v>
      </c>
      <c r="F519" s="249" t="s">
        <v>1036</v>
      </c>
      <c r="G519" s="250">
        <v>6</v>
      </c>
      <c r="H519" s="250" t="str">
        <f t="shared" si="30"/>
        <v>X-7_6</v>
      </c>
      <c r="I519" s="31">
        <v>30</v>
      </c>
      <c r="J519" s="31" t="str">
        <f t="shared" si="32"/>
        <v>0098758286-518</v>
      </c>
      <c r="K519" s="70"/>
      <c r="L519" s="31">
        <v>13</v>
      </c>
      <c r="M519" s="251"/>
      <c r="N519" s="252"/>
      <c r="O519" s="252">
        <v>218</v>
      </c>
    </row>
    <row r="520" spans="1:16" x14ac:dyDescent="0.35">
      <c r="A520" s="1" t="str">
        <f t="shared" si="31"/>
        <v>13-31</v>
      </c>
      <c r="B520" s="26">
        <v>519</v>
      </c>
      <c r="C520" s="246" t="s">
        <v>1047</v>
      </c>
      <c r="D520" s="247" t="s">
        <v>1048</v>
      </c>
      <c r="E520" s="248" t="s">
        <v>13</v>
      </c>
      <c r="F520" s="249" t="s">
        <v>1036</v>
      </c>
      <c r="G520" s="250">
        <v>7</v>
      </c>
      <c r="H520" s="250" t="str">
        <f t="shared" si="30"/>
        <v>X-7_7</v>
      </c>
      <c r="I520" s="31">
        <v>31</v>
      </c>
      <c r="J520" s="31" t="str">
        <f t="shared" si="32"/>
        <v>0102275426-519</v>
      </c>
      <c r="K520" s="70"/>
      <c r="L520" s="31">
        <v>13</v>
      </c>
      <c r="M520" s="251"/>
      <c r="N520" s="252"/>
      <c r="O520" s="252">
        <v>219</v>
      </c>
    </row>
    <row r="521" spans="1:16" x14ac:dyDescent="0.35">
      <c r="A521" s="1" t="str">
        <f t="shared" si="31"/>
        <v>13-32</v>
      </c>
      <c r="B521" s="26">
        <v>520</v>
      </c>
      <c r="C521" s="246" t="s">
        <v>1049</v>
      </c>
      <c r="D521" s="247" t="s">
        <v>1050</v>
      </c>
      <c r="E521" s="248" t="s">
        <v>13</v>
      </c>
      <c r="F521" s="249" t="s">
        <v>1036</v>
      </c>
      <c r="G521" s="250">
        <v>8</v>
      </c>
      <c r="H521" s="250" t="str">
        <f t="shared" si="30"/>
        <v>X-7_8</v>
      </c>
      <c r="I521" s="31">
        <v>32</v>
      </c>
      <c r="J521" s="31" t="str">
        <f t="shared" si="32"/>
        <v>0093206419-520</v>
      </c>
      <c r="K521" s="70"/>
      <c r="L521" s="31">
        <v>13</v>
      </c>
      <c r="M521" s="251"/>
      <c r="N521" s="252"/>
      <c r="O521" s="252">
        <v>220</v>
      </c>
    </row>
    <row r="522" spans="1:16" x14ac:dyDescent="0.35">
      <c r="A522" s="1" t="str">
        <f t="shared" si="31"/>
        <v>13-33</v>
      </c>
      <c r="B522" s="26">
        <v>521</v>
      </c>
      <c r="C522" s="246" t="s">
        <v>1051</v>
      </c>
      <c r="D522" s="247" t="s">
        <v>1052</v>
      </c>
      <c r="E522" s="248" t="s">
        <v>13</v>
      </c>
      <c r="F522" s="249" t="s">
        <v>1036</v>
      </c>
      <c r="G522" s="250">
        <v>9</v>
      </c>
      <c r="H522" s="250" t="str">
        <f t="shared" si="30"/>
        <v>X-7_9</v>
      </c>
      <c r="I522" s="31">
        <v>33</v>
      </c>
      <c r="J522" s="31" t="str">
        <f t="shared" si="32"/>
        <v>0102122931-521</v>
      </c>
      <c r="K522" s="70"/>
      <c r="L522" s="31">
        <v>13</v>
      </c>
      <c r="M522" s="251"/>
      <c r="N522" s="252"/>
      <c r="O522" s="252">
        <v>221</v>
      </c>
    </row>
    <row r="523" spans="1:16" x14ac:dyDescent="0.35">
      <c r="A523" s="1" t="str">
        <f t="shared" si="31"/>
        <v>14-17</v>
      </c>
      <c r="B523" s="26">
        <v>522</v>
      </c>
      <c r="C523" s="246" t="s">
        <v>1053</v>
      </c>
      <c r="D523" s="247" t="s">
        <v>1054</v>
      </c>
      <c r="E523" s="248" t="s">
        <v>13</v>
      </c>
      <c r="F523" s="249" t="s">
        <v>1036</v>
      </c>
      <c r="G523" s="250">
        <v>10</v>
      </c>
      <c r="H523" s="250" t="str">
        <f t="shared" si="30"/>
        <v>X-7_10</v>
      </c>
      <c r="I523" s="256">
        <v>17</v>
      </c>
      <c r="J523" s="256" t="str">
        <f t="shared" si="32"/>
        <v>0095519714-522</v>
      </c>
      <c r="K523" s="70"/>
      <c r="L523" s="256">
        <v>14</v>
      </c>
      <c r="M523" s="251"/>
      <c r="N523" s="252"/>
      <c r="O523" s="252">
        <v>222</v>
      </c>
    </row>
    <row r="524" spans="1:16" x14ac:dyDescent="0.35">
      <c r="A524" s="1" t="str">
        <f t="shared" si="31"/>
        <v>14-18</v>
      </c>
      <c r="B524" s="26">
        <v>523</v>
      </c>
      <c r="C524" s="246" t="s">
        <v>1055</v>
      </c>
      <c r="D524" s="247" t="s">
        <v>1056</v>
      </c>
      <c r="E524" s="248" t="s">
        <v>23</v>
      </c>
      <c r="F524" s="249" t="s">
        <v>1036</v>
      </c>
      <c r="G524" s="250">
        <v>11</v>
      </c>
      <c r="H524" s="250" t="str">
        <f t="shared" si="30"/>
        <v>X-7_11</v>
      </c>
      <c r="I524" s="256">
        <v>18</v>
      </c>
      <c r="J524" s="256" t="str">
        <f t="shared" si="32"/>
        <v>0106222985-523</v>
      </c>
      <c r="K524" s="70"/>
      <c r="L524" s="256">
        <v>14</v>
      </c>
      <c r="M524" s="251"/>
      <c r="N524" s="252"/>
      <c r="O524" s="252">
        <v>223</v>
      </c>
    </row>
    <row r="525" spans="1:16" x14ac:dyDescent="0.35">
      <c r="A525" s="1" t="str">
        <f t="shared" si="31"/>
        <v>14-19</v>
      </c>
      <c r="B525" s="26">
        <v>524</v>
      </c>
      <c r="C525" s="246" t="s">
        <v>1057</v>
      </c>
      <c r="D525" s="247" t="s">
        <v>1058</v>
      </c>
      <c r="E525" s="248" t="s">
        <v>23</v>
      </c>
      <c r="F525" s="249" t="s">
        <v>1036</v>
      </c>
      <c r="G525" s="250">
        <v>12</v>
      </c>
      <c r="H525" s="250" t="str">
        <f t="shared" si="30"/>
        <v>X-7_12</v>
      </c>
      <c r="I525" s="256">
        <v>19</v>
      </c>
      <c r="J525" s="256" t="str">
        <f t="shared" si="32"/>
        <v>0093674812-524</v>
      </c>
      <c r="K525" s="70"/>
      <c r="L525" s="256">
        <v>14</v>
      </c>
      <c r="M525" s="251"/>
      <c r="N525" s="252"/>
      <c r="O525" s="252">
        <v>224</v>
      </c>
      <c r="P525" s="119"/>
    </row>
    <row r="526" spans="1:16" x14ac:dyDescent="0.35">
      <c r="A526" s="1" t="str">
        <f t="shared" si="31"/>
        <v>14-20</v>
      </c>
      <c r="B526" s="26">
        <v>525</v>
      </c>
      <c r="C526" s="246" t="s">
        <v>1059</v>
      </c>
      <c r="D526" s="247" t="s">
        <v>1060</v>
      </c>
      <c r="E526" s="248" t="s">
        <v>23</v>
      </c>
      <c r="F526" s="249" t="s">
        <v>1036</v>
      </c>
      <c r="G526" s="250">
        <v>13</v>
      </c>
      <c r="H526" s="250" t="str">
        <f t="shared" si="30"/>
        <v>X-7_13</v>
      </c>
      <c r="I526" s="256">
        <v>20</v>
      </c>
      <c r="J526" s="256" t="str">
        <f t="shared" si="32"/>
        <v>0108316870-525</v>
      </c>
      <c r="K526" s="70"/>
      <c r="L526" s="256">
        <v>14</v>
      </c>
      <c r="M526" s="251"/>
      <c r="N526" s="252"/>
      <c r="O526" s="252">
        <v>225</v>
      </c>
    </row>
    <row r="527" spans="1:16" x14ac:dyDescent="0.35">
      <c r="A527" s="1" t="str">
        <f t="shared" si="31"/>
        <v>14-21</v>
      </c>
      <c r="B527" s="26">
        <v>526</v>
      </c>
      <c r="C527" s="246" t="s">
        <v>1061</v>
      </c>
      <c r="D527" s="247" t="s">
        <v>1062</v>
      </c>
      <c r="E527" s="248" t="s">
        <v>23</v>
      </c>
      <c r="F527" s="249" t="s">
        <v>1036</v>
      </c>
      <c r="G527" s="250">
        <v>14</v>
      </c>
      <c r="H527" s="250" t="str">
        <f t="shared" si="30"/>
        <v>X-7_14</v>
      </c>
      <c r="I527" s="256">
        <v>21</v>
      </c>
      <c r="J527" s="256" t="str">
        <f t="shared" si="32"/>
        <v>0092927562-526</v>
      </c>
      <c r="K527" s="250"/>
      <c r="L527" s="256">
        <v>14</v>
      </c>
      <c r="M527" s="251"/>
      <c r="N527" s="252"/>
      <c r="O527" s="252">
        <v>226</v>
      </c>
    </row>
    <row r="528" spans="1:16" x14ac:dyDescent="0.35">
      <c r="A528" s="1" t="str">
        <f t="shared" si="31"/>
        <v>14-22</v>
      </c>
      <c r="B528" s="26">
        <v>527</v>
      </c>
      <c r="C528" s="246" t="s">
        <v>1063</v>
      </c>
      <c r="D528" s="247" t="s">
        <v>1064</v>
      </c>
      <c r="E528" s="248" t="s">
        <v>23</v>
      </c>
      <c r="F528" s="249" t="s">
        <v>1036</v>
      </c>
      <c r="G528" s="250">
        <v>15</v>
      </c>
      <c r="H528" s="250" t="str">
        <f t="shared" si="30"/>
        <v>X-7_15</v>
      </c>
      <c r="I528" s="256">
        <v>22</v>
      </c>
      <c r="J528" s="256" t="str">
        <f t="shared" si="32"/>
        <v>0101605630-527</v>
      </c>
      <c r="K528" s="250"/>
      <c r="L528" s="256">
        <v>14</v>
      </c>
      <c r="M528" s="251"/>
      <c r="N528" s="252"/>
      <c r="O528" s="252">
        <v>227</v>
      </c>
    </row>
    <row r="529" spans="1:15" x14ac:dyDescent="0.35">
      <c r="A529" s="1" t="str">
        <f t="shared" si="31"/>
        <v>14-23</v>
      </c>
      <c r="B529" s="26">
        <v>528</v>
      </c>
      <c r="C529" s="246" t="s">
        <v>1065</v>
      </c>
      <c r="D529" s="247" t="s">
        <v>1066</v>
      </c>
      <c r="E529" s="248" t="s">
        <v>23</v>
      </c>
      <c r="F529" s="249" t="s">
        <v>1036</v>
      </c>
      <c r="G529" s="250">
        <v>16</v>
      </c>
      <c r="H529" s="250" t="str">
        <f t="shared" si="30"/>
        <v>X-7_16</v>
      </c>
      <c r="I529" s="256">
        <v>23</v>
      </c>
      <c r="J529" s="256" t="str">
        <f t="shared" si="32"/>
        <v>0099874016-528</v>
      </c>
      <c r="K529" s="250"/>
      <c r="L529" s="256">
        <v>14</v>
      </c>
      <c r="M529" s="251"/>
      <c r="N529" s="252"/>
      <c r="O529" s="252">
        <v>228</v>
      </c>
    </row>
    <row r="530" spans="1:15" x14ac:dyDescent="0.35">
      <c r="A530" s="1" t="str">
        <f t="shared" si="31"/>
        <v>14-24</v>
      </c>
      <c r="B530" s="26">
        <v>529</v>
      </c>
      <c r="C530" s="246" t="s">
        <v>1067</v>
      </c>
      <c r="D530" s="247" t="s">
        <v>1068</v>
      </c>
      <c r="E530" s="248" t="s">
        <v>23</v>
      </c>
      <c r="F530" s="249" t="s">
        <v>1036</v>
      </c>
      <c r="G530" s="250">
        <v>17</v>
      </c>
      <c r="H530" s="250" t="str">
        <f t="shared" si="30"/>
        <v>X-7_17</v>
      </c>
      <c r="I530" s="256">
        <v>24</v>
      </c>
      <c r="J530" s="256" t="str">
        <f t="shared" si="32"/>
        <v>0101838397-529</v>
      </c>
      <c r="K530" s="250"/>
      <c r="L530" s="256">
        <v>14</v>
      </c>
      <c r="M530" s="251"/>
      <c r="N530" s="252"/>
      <c r="O530" s="252">
        <v>229</v>
      </c>
    </row>
    <row r="531" spans="1:15" x14ac:dyDescent="0.35">
      <c r="A531" s="1" t="str">
        <f t="shared" si="31"/>
        <v>14-25</v>
      </c>
      <c r="B531" s="26">
        <v>530</v>
      </c>
      <c r="C531" s="246" t="s">
        <v>1069</v>
      </c>
      <c r="D531" s="247" t="s">
        <v>1070</v>
      </c>
      <c r="E531" s="248" t="s">
        <v>23</v>
      </c>
      <c r="F531" s="249" t="s">
        <v>1036</v>
      </c>
      <c r="G531" s="250">
        <v>18</v>
      </c>
      <c r="H531" s="250" t="str">
        <f t="shared" si="30"/>
        <v>X-7_18</v>
      </c>
      <c r="I531" s="256">
        <v>25</v>
      </c>
      <c r="J531" s="256" t="str">
        <f t="shared" si="32"/>
        <v>0109196910-530</v>
      </c>
      <c r="K531" s="250"/>
      <c r="L531" s="256">
        <v>14</v>
      </c>
      <c r="M531" s="251"/>
      <c r="N531" s="252"/>
      <c r="O531" s="252">
        <v>230</v>
      </c>
    </row>
    <row r="532" spans="1:15" x14ac:dyDescent="0.35">
      <c r="A532" s="1" t="str">
        <f t="shared" si="31"/>
        <v>14-26</v>
      </c>
      <c r="B532" s="26">
        <v>531</v>
      </c>
      <c r="C532" s="246" t="s">
        <v>1071</v>
      </c>
      <c r="D532" s="247" t="s">
        <v>1072</v>
      </c>
      <c r="E532" s="248" t="s">
        <v>23</v>
      </c>
      <c r="F532" s="249" t="s">
        <v>1036</v>
      </c>
      <c r="G532" s="250">
        <v>19</v>
      </c>
      <c r="H532" s="250" t="str">
        <f t="shared" si="30"/>
        <v>X-7_19</v>
      </c>
      <c r="I532" s="256">
        <v>26</v>
      </c>
      <c r="J532" s="256" t="str">
        <f t="shared" si="32"/>
        <v>0095411081-531</v>
      </c>
      <c r="K532" s="250"/>
      <c r="L532" s="256">
        <v>14</v>
      </c>
      <c r="M532" s="251"/>
      <c r="N532" s="252"/>
      <c r="O532" s="252">
        <v>231</v>
      </c>
    </row>
    <row r="533" spans="1:15" x14ac:dyDescent="0.35">
      <c r="A533" s="1" t="str">
        <f t="shared" si="31"/>
        <v>14-27</v>
      </c>
      <c r="B533" s="26">
        <v>532</v>
      </c>
      <c r="C533" s="253" t="s">
        <v>1073</v>
      </c>
      <c r="D533" s="257" t="s">
        <v>1074</v>
      </c>
      <c r="E533" s="258" t="s">
        <v>23</v>
      </c>
      <c r="F533" s="249" t="s">
        <v>1036</v>
      </c>
      <c r="G533" s="250">
        <v>20</v>
      </c>
      <c r="H533" s="250" t="str">
        <f t="shared" si="30"/>
        <v>X-7_20</v>
      </c>
      <c r="I533" s="256">
        <v>27</v>
      </c>
      <c r="J533" s="256" t="str">
        <f t="shared" si="32"/>
        <v>0093441989-532</v>
      </c>
      <c r="K533" s="250"/>
      <c r="L533" s="256">
        <v>14</v>
      </c>
      <c r="M533" s="251"/>
      <c r="N533" s="252"/>
      <c r="O533" s="252">
        <v>232</v>
      </c>
    </row>
    <row r="534" spans="1:15" x14ac:dyDescent="0.35">
      <c r="A534" s="1" t="str">
        <f t="shared" si="31"/>
        <v>14-28</v>
      </c>
      <c r="B534" s="26">
        <v>533</v>
      </c>
      <c r="C534" s="246" t="s">
        <v>1075</v>
      </c>
      <c r="D534" s="247" t="s">
        <v>1076</v>
      </c>
      <c r="E534" s="248" t="s">
        <v>13</v>
      </c>
      <c r="F534" s="249" t="s">
        <v>1036</v>
      </c>
      <c r="G534" s="250">
        <v>21</v>
      </c>
      <c r="H534" s="250" t="str">
        <f t="shared" si="30"/>
        <v>X-7_21</v>
      </c>
      <c r="I534" s="256">
        <v>28</v>
      </c>
      <c r="J534" s="256" t="str">
        <f t="shared" si="32"/>
        <v>0095850775-533</v>
      </c>
      <c r="K534" s="250"/>
      <c r="L534" s="256">
        <v>14</v>
      </c>
      <c r="M534" s="251"/>
      <c r="N534" s="252"/>
      <c r="O534" s="252">
        <v>233</v>
      </c>
    </row>
    <row r="535" spans="1:15" x14ac:dyDescent="0.35">
      <c r="A535" s="1" t="str">
        <f t="shared" si="31"/>
        <v>14-29</v>
      </c>
      <c r="B535" s="26">
        <v>534</v>
      </c>
      <c r="C535" s="253" t="s">
        <v>1077</v>
      </c>
      <c r="D535" s="259" t="s">
        <v>1078</v>
      </c>
      <c r="E535" s="258" t="s">
        <v>13</v>
      </c>
      <c r="F535" s="249" t="s">
        <v>1036</v>
      </c>
      <c r="G535" s="250">
        <v>22</v>
      </c>
      <c r="H535" s="250" t="str">
        <f t="shared" si="30"/>
        <v>X-7_22</v>
      </c>
      <c r="I535" s="256">
        <v>29</v>
      </c>
      <c r="J535" s="256" t="str">
        <f t="shared" si="32"/>
        <v>0103698659-534</v>
      </c>
      <c r="K535" s="250"/>
      <c r="L535" s="256">
        <v>14</v>
      </c>
      <c r="M535" s="251"/>
      <c r="N535" s="252"/>
      <c r="O535" s="252">
        <v>234</v>
      </c>
    </row>
    <row r="536" spans="1:15" x14ac:dyDescent="0.35">
      <c r="A536" s="1" t="str">
        <f t="shared" si="31"/>
        <v>14-30</v>
      </c>
      <c r="B536" s="26">
        <v>535</v>
      </c>
      <c r="C536" s="246" t="s">
        <v>1079</v>
      </c>
      <c r="D536" s="247" t="s">
        <v>1080</v>
      </c>
      <c r="E536" s="248" t="s">
        <v>13</v>
      </c>
      <c r="F536" s="249" t="s">
        <v>1036</v>
      </c>
      <c r="G536" s="250">
        <v>23</v>
      </c>
      <c r="H536" s="250" t="str">
        <f t="shared" si="30"/>
        <v>X-7_23</v>
      </c>
      <c r="I536" s="256">
        <v>30</v>
      </c>
      <c r="J536" s="256" t="str">
        <f t="shared" si="32"/>
        <v>0107308862-535</v>
      </c>
      <c r="K536" s="250"/>
      <c r="L536" s="256">
        <v>14</v>
      </c>
      <c r="M536" s="251"/>
      <c r="N536" s="252"/>
      <c r="O536" s="252">
        <v>235</v>
      </c>
    </row>
    <row r="537" spans="1:15" x14ac:dyDescent="0.35">
      <c r="A537" s="1" t="str">
        <f t="shared" si="31"/>
        <v>14-31</v>
      </c>
      <c r="B537" s="26">
        <v>536</v>
      </c>
      <c r="C537" s="246" t="s">
        <v>1081</v>
      </c>
      <c r="D537" s="247" t="s">
        <v>1082</v>
      </c>
      <c r="E537" s="248" t="s">
        <v>13</v>
      </c>
      <c r="F537" s="249" t="s">
        <v>1036</v>
      </c>
      <c r="G537" s="250">
        <v>24</v>
      </c>
      <c r="H537" s="250" t="str">
        <f t="shared" si="30"/>
        <v>X-7_24</v>
      </c>
      <c r="I537" s="256">
        <v>31</v>
      </c>
      <c r="J537" s="256" t="str">
        <f t="shared" si="32"/>
        <v>0091457717-536</v>
      </c>
      <c r="K537" s="250"/>
      <c r="L537" s="256">
        <v>14</v>
      </c>
      <c r="M537" s="251"/>
      <c r="N537" s="252"/>
      <c r="O537" s="252">
        <v>236</v>
      </c>
    </row>
    <row r="538" spans="1:15" x14ac:dyDescent="0.35">
      <c r="A538" s="1" t="str">
        <f t="shared" si="31"/>
        <v>14-32</v>
      </c>
      <c r="B538" s="26">
        <v>537</v>
      </c>
      <c r="C538" s="246" t="s">
        <v>1083</v>
      </c>
      <c r="D538" s="247" t="s">
        <v>1084</v>
      </c>
      <c r="E538" s="248" t="s">
        <v>13</v>
      </c>
      <c r="F538" s="249" t="s">
        <v>1036</v>
      </c>
      <c r="G538" s="250">
        <v>25</v>
      </c>
      <c r="H538" s="250" t="str">
        <f t="shared" si="30"/>
        <v>X-7_25</v>
      </c>
      <c r="I538" s="256">
        <v>32</v>
      </c>
      <c r="J538" s="256" t="str">
        <f t="shared" si="32"/>
        <v>0099616923-537</v>
      </c>
      <c r="K538" s="250"/>
      <c r="L538" s="256">
        <v>14</v>
      </c>
      <c r="M538" s="251"/>
      <c r="N538" s="252"/>
      <c r="O538" s="252">
        <v>237</v>
      </c>
    </row>
    <row r="539" spans="1:15" x14ac:dyDescent="0.35">
      <c r="A539" s="1" t="str">
        <f t="shared" si="31"/>
        <v>14-33</v>
      </c>
      <c r="B539" s="26">
        <v>538</v>
      </c>
      <c r="C539" s="246" t="s">
        <v>1085</v>
      </c>
      <c r="D539" s="247" t="s">
        <v>1086</v>
      </c>
      <c r="E539" s="248" t="s">
        <v>13</v>
      </c>
      <c r="F539" s="249" t="s">
        <v>1036</v>
      </c>
      <c r="G539" s="250">
        <v>26</v>
      </c>
      <c r="H539" s="250" t="str">
        <f t="shared" si="30"/>
        <v>X-7_26</v>
      </c>
      <c r="I539" s="256">
        <v>33</v>
      </c>
      <c r="J539" s="256" t="str">
        <f t="shared" si="32"/>
        <v>0104611488-538</v>
      </c>
      <c r="K539" s="250"/>
      <c r="L539" s="256">
        <v>14</v>
      </c>
      <c r="M539" s="251"/>
      <c r="N539" s="252"/>
      <c r="O539" s="252">
        <v>238</v>
      </c>
    </row>
    <row r="540" spans="1:15" x14ac:dyDescent="0.35">
      <c r="A540" s="1" t="str">
        <f t="shared" si="31"/>
        <v>15-17</v>
      </c>
      <c r="B540" s="26">
        <v>539</v>
      </c>
      <c r="C540" s="246" t="s">
        <v>1087</v>
      </c>
      <c r="D540" s="247" t="s">
        <v>1088</v>
      </c>
      <c r="E540" s="248" t="s">
        <v>23</v>
      </c>
      <c r="F540" s="249" t="s">
        <v>1036</v>
      </c>
      <c r="G540" s="250">
        <v>27</v>
      </c>
      <c r="H540" s="250" t="str">
        <f t="shared" si="30"/>
        <v>X-7_27</v>
      </c>
      <c r="I540" s="260">
        <v>17</v>
      </c>
      <c r="J540" s="260" t="str">
        <f t="shared" si="32"/>
        <v>0095056348-539</v>
      </c>
      <c r="K540" s="250"/>
      <c r="L540" s="260">
        <v>15</v>
      </c>
      <c r="M540" s="251"/>
      <c r="N540" s="252"/>
      <c r="O540" s="252">
        <v>239</v>
      </c>
    </row>
    <row r="541" spans="1:15" x14ac:dyDescent="0.35">
      <c r="A541" s="1" t="str">
        <f t="shared" si="31"/>
        <v>15-18</v>
      </c>
      <c r="B541" s="26">
        <v>540</v>
      </c>
      <c r="C541" s="246" t="s">
        <v>1089</v>
      </c>
      <c r="D541" s="247" t="s">
        <v>1090</v>
      </c>
      <c r="E541" s="248" t="s">
        <v>23</v>
      </c>
      <c r="F541" s="249" t="s">
        <v>1036</v>
      </c>
      <c r="G541" s="250">
        <v>28</v>
      </c>
      <c r="H541" s="250" t="str">
        <f t="shared" si="30"/>
        <v>X-7_28</v>
      </c>
      <c r="I541" s="260">
        <v>18</v>
      </c>
      <c r="J541" s="260" t="str">
        <f t="shared" si="32"/>
        <v>0104211700-540</v>
      </c>
      <c r="K541" s="250"/>
      <c r="L541" s="260">
        <v>15</v>
      </c>
      <c r="M541" s="251"/>
      <c r="N541" s="252"/>
      <c r="O541" s="252">
        <v>240</v>
      </c>
    </row>
    <row r="542" spans="1:15" x14ac:dyDescent="0.35">
      <c r="A542" s="1" t="str">
        <f t="shared" si="31"/>
        <v>15-19</v>
      </c>
      <c r="B542" s="26">
        <v>541</v>
      </c>
      <c r="C542" s="246" t="s">
        <v>1091</v>
      </c>
      <c r="D542" s="247" t="s">
        <v>1092</v>
      </c>
      <c r="E542" s="248" t="s">
        <v>13</v>
      </c>
      <c r="F542" s="249" t="s">
        <v>1036</v>
      </c>
      <c r="G542" s="250">
        <v>29</v>
      </c>
      <c r="H542" s="250" t="str">
        <f t="shared" si="30"/>
        <v>X-7_29</v>
      </c>
      <c r="I542" s="260">
        <v>19</v>
      </c>
      <c r="J542" s="260" t="str">
        <f t="shared" si="32"/>
        <v>0094741275-541</v>
      </c>
      <c r="K542" s="261"/>
      <c r="L542" s="260">
        <v>15</v>
      </c>
      <c r="M542" s="251"/>
      <c r="N542" s="252"/>
      <c r="O542" s="252">
        <v>241</v>
      </c>
    </row>
    <row r="543" spans="1:15" x14ac:dyDescent="0.35">
      <c r="A543" s="1" t="str">
        <f t="shared" si="31"/>
        <v>15-20</v>
      </c>
      <c r="B543" s="26">
        <v>542</v>
      </c>
      <c r="C543" s="246" t="s">
        <v>1093</v>
      </c>
      <c r="D543" s="247" t="s">
        <v>1094</v>
      </c>
      <c r="E543" s="262" t="s">
        <v>13</v>
      </c>
      <c r="F543" s="249" t="s">
        <v>1036</v>
      </c>
      <c r="G543" s="250">
        <v>30</v>
      </c>
      <c r="H543" s="250" t="str">
        <f t="shared" si="30"/>
        <v>X-7_30</v>
      </c>
      <c r="I543" s="260">
        <v>20</v>
      </c>
      <c r="J543" s="260" t="str">
        <f t="shared" si="32"/>
        <v>0105722795-542</v>
      </c>
      <c r="K543" s="261"/>
      <c r="L543" s="260">
        <v>15</v>
      </c>
      <c r="M543" s="251"/>
      <c r="N543" s="252"/>
      <c r="O543" s="252">
        <v>242</v>
      </c>
    </row>
    <row r="544" spans="1:15" x14ac:dyDescent="0.35">
      <c r="A544" s="1" t="str">
        <f t="shared" si="31"/>
        <v>15-21</v>
      </c>
      <c r="B544" s="26">
        <v>543</v>
      </c>
      <c r="C544" s="246" t="s">
        <v>1095</v>
      </c>
      <c r="D544" s="247" t="s">
        <v>1096</v>
      </c>
      <c r="E544" s="262" t="s">
        <v>13</v>
      </c>
      <c r="F544" s="249" t="s">
        <v>1036</v>
      </c>
      <c r="G544" s="250">
        <v>31</v>
      </c>
      <c r="H544" s="250" t="str">
        <f t="shared" si="30"/>
        <v>X-7_31</v>
      </c>
      <c r="I544" s="260">
        <v>21</v>
      </c>
      <c r="J544" s="260" t="str">
        <f t="shared" si="32"/>
        <v>0091957318-543</v>
      </c>
      <c r="K544" s="261"/>
      <c r="L544" s="260">
        <v>15</v>
      </c>
      <c r="M544" s="251"/>
      <c r="N544" s="252"/>
      <c r="O544" s="252">
        <v>243</v>
      </c>
    </row>
    <row r="545" spans="1:15" x14ac:dyDescent="0.35">
      <c r="A545" s="1" t="str">
        <f t="shared" si="31"/>
        <v>15-22</v>
      </c>
      <c r="B545" s="26">
        <v>544</v>
      </c>
      <c r="C545" s="246" t="s">
        <v>1097</v>
      </c>
      <c r="D545" s="247" t="s">
        <v>1098</v>
      </c>
      <c r="E545" s="262" t="s">
        <v>13</v>
      </c>
      <c r="F545" s="249" t="s">
        <v>1036</v>
      </c>
      <c r="G545" s="250">
        <v>32</v>
      </c>
      <c r="H545" s="250" t="str">
        <f t="shared" si="30"/>
        <v>X-7_32</v>
      </c>
      <c r="I545" s="260">
        <v>22</v>
      </c>
      <c r="J545" s="260" t="str">
        <f t="shared" si="32"/>
        <v>0105537473-544</v>
      </c>
      <c r="K545" s="261"/>
      <c r="L545" s="260">
        <v>15</v>
      </c>
      <c r="M545" s="251"/>
      <c r="N545" s="252"/>
      <c r="O545" s="252">
        <v>244</v>
      </c>
    </row>
    <row r="546" spans="1:15" x14ac:dyDescent="0.35">
      <c r="A546" s="1" t="str">
        <f t="shared" si="31"/>
        <v>15-23</v>
      </c>
      <c r="B546" s="26">
        <v>545</v>
      </c>
      <c r="C546" s="246" t="s">
        <v>1099</v>
      </c>
      <c r="D546" s="247" t="s">
        <v>1100</v>
      </c>
      <c r="E546" s="262" t="s">
        <v>13</v>
      </c>
      <c r="F546" s="249" t="s">
        <v>1036</v>
      </c>
      <c r="G546" s="250">
        <v>33</v>
      </c>
      <c r="H546" s="250" t="str">
        <f t="shared" si="30"/>
        <v>X-7_33</v>
      </c>
      <c r="I546" s="260">
        <v>23</v>
      </c>
      <c r="J546" s="260" t="str">
        <f t="shared" si="32"/>
        <v>0092432745-545</v>
      </c>
      <c r="K546" s="261"/>
      <c r="L546" s="260">
        <v>15</v>
      </c>
      <c r="M546" s="251"/>
      <c r="N546" s="252"/>
      <c r="O546" s="252">
        <v>245</v>
      </c>
    </row>
    <row r="547" spans="1:15" x14ac:dyDescent="0.35">
      <c r="A547" s="1" t="str">
        <f t="shared" si="31"/>
        <v>15-24</v>
      </c>
      <c r="B547" s="26">
        <v>546</v>
      </c>
      <c r="C547" s="246" t="s">
        <v>1101</v>
      </c>
      <c r="D547" s="247" t="s">
        <v>1102</v>
      </c>
      <c r="E547" s="262" t="s">
        <v>13</v>
      </c>
      <c r="F547" s="249" t="s">
        <v>1036</v>
      </c>
      <c r="G547" s="250">
        <v>34</v>
      </c>
      <c r="H547" s="250" t="str">
        <f t="shared" si="30"/>
        <v>X-7_34</v>
      </c>
      <c r="I547" s="260">
        <v>24</v>
      </c>
      <c r="J547" s="260" t="str">
        <f t="shared" si="32"/>
        <v>0102841657-546</v>
      </c>
      <c r="K547" s="261"/>
      <c r="L547" s="260">
        <v>15</v>
      </c>
      <c r="M547" s="251"/>
      <c r="N547" s="252"/>
      <c r="O547" s="252">
        <v>246</v>
      </c>
    </row>
    <row r="548" spans="1:15" x14ac:dyDescent="0.35">
      <c r="A548" s="1" t="str">
        <f t="shared" si="31"/>
        <v>15-25</v>
      </c>
      <c r="B548" s="26">
        <v>547</v>
      </c>
      <c r="C548" s="246" t="s">
        <v>1103</v>
      </c>
      <c r="D548" s="247" t="s">
        <v>1104</v>
      </c>
      <c r="E548" s="262" t="s">
        <v>13</v>
      </c>
      <c r="F548" s="249" t="s">
        <v>1036</v>
      </c>
      <c r="G548" s="250">
        <v>35</v>
      </c>
      <c r="H548" s="250" t="str">
        <f t="shared" si="30"/>
        <v>X-7_35</v>
      </c>
      <c r="I548" s="260">
        <v>25</v>
      </c>
      <c r="J548" s="260" t="str">
        <f t="shared" si="32"/>
        <v>0093711093-547</v>
      </c>
      <c r="K548" s="261"/>
      <c r="L548" s="260">
        <v>15</v>
      </c>
      <c r="M548" s="251"/>
      <c r="N548" s="252"/>
      <c r="O548" s="252">
        <v>247</v>
      </c>
    </row>
    <row r="549" spans="1:15" x14ac:dyDescent="0.35">
      <c r="A549" s="1" t="str">
        <f t="shared" si="31"/>
        <v>15-26</v>
      </c>
      <c r="B549" s="26">
        <v>548</v>
      </c>
      <c r="C549" s="27" t="s">
        <v>1105</v>
      </c>
      <c r="D549" s="187" t="s">
        <v>1106</v>
      </c>
      <c r="E549" s="188" t="s">
        <v>13</v>
      </c>
      <c r="F549" s="189" t="s">
        <v>1107</v>
      </c>
      <c r="G549" s="190">
        <v>1</v>
      </c>
      <c r="H549" s="190" t="str">
        <f t="shared" si="30"/>
        <v>X-8_1</v>
      </c>
      <c r="I549" s="260">
        <v>26</v>
      </c>
      <c r="J549" s="260" t="str">
        <f t="shared" si="32"/>
        <v>0091421051-548</v>
      </c>
      <c r="K549" s="263"/>
      <c r="L549" s="260">
        <v>15</v>
      </c>
      <c r="M549" s="191"/>
      <c r="N549" s="192"/>
      <c r="O549" s="192">
        <v>248</v>
      </c>
    </row>
    <row r="550" spans="1:15" x14ac:dyDescent="0.35">
      <c r="A550" s="1" t="str">
        <f t="shared" si="31"/>
        <v>15-27</v>
      </c>
      <c r="B550" s="26">
        <v>549</v>
      </c>
      <c r="C550" s="27">
        <v>3102681850</v>
      </c>
      <c r="D550" s="187" t="s">
        <v>1108</v>
      </c>
      <c r="E550" s="188" t="s">
        <v>23</v>
      </c>
      <c r="F550" s="189" t="s">
        <v>1107</v>
      </c>
      <c r="G550" s="190">
        <v>2</v>
      </c>
      <c r="H550" s="190" t="str">
        <f t="shared" si="30"/>
        <v>X-8_2</v>
      </c>
      <c r="I550" s="260">
        <v>27</v>
      </c>
      <c r="J550" s="260" t="str">
        <f t="shared" si="32"/>
        <v>3102681850-549</v>
      </c>
      <c r="K550" s="263"/>
      <c r="L550" s="260">
        <v>15</v>
      </c>
      <c r="M550" s="191"/>
      <c r="N550" s="192"/>
      <c r="O550" s="171">
        <v>249</v>
      </c>
    </row>
    <row r="551" spans="1:15" x14ac:dyDescent="0.35">
      <c r="A551" s="1" t="str">
        <f t="shared" si="31"/>
        <v>15-28</v>
      </c>
      <c r="B551" s="26">
        <v>550</v>
      </c>
      <c r="C551" s="27">
        <v>3101275798</v>
      </c>
      <c r="D551" s="187" t="s">
        <v>1109</v>
      </c>
      <c r="E551" s="188" t="s">
        <v>23</v>
      </c>
      <c r="F551" s="189" t="s">
        <v>1107</v>
      </c>
      <c r="G551" s="190">
        <v>3</v>
      </c>
      <c r="H551" s="190" t="str">
        <f t="shared" si="30"/>
        <v>X-8_3</v>
      </c>
      <c r="I551" s="260">
        <v>28</v>
      </c>
      <c r="J551" s="260" t="str">
        <f t="shared" si="32"/>
        <v>3101275798-550</v>
      </c>
      <c r="K551" s="263"/>
      <c r="L551" s="260">
        <v>15</v>
      </c>
      <c r="M551" s="191"/>
      <c r="N551" s="192"/>
      <c r="O551" s="192">
        <v>250</v>
      </c>
    </row>
    <row r="552" spans="1:15" x14ac:dyDescent="0.35">
      <c r="A552" s="1" t="str">
        <f t="shared" si="31"/>
        <v>15-29</v>
      </c>
      <c r="B552" s="26">
        <v>551</v>
      </c>
      <c r="C552" s="27" t="s">
        <v>1110</v>
      </c>
      <c r="D552" s="187" t="s">
        <v>1111</v>
      </c>
      <c r="E552" s="188" t="s">
        <v>23</v>
      </c>
      <c r="F552" s="189" t="s">
        <v>1107</v>
      </c>
      <c r="G552" s="190">
        <v>4</v>
      </c>
      <c r="H552" s="190" t="str">
        <f t="shared" si="30"/>
        <v>X-8_4</v>
      </c>
      <c r="I552" s="260">
        <v>29</v>
      </c>
      <c r="J552" s="260" t="str">
        <f t="shared" si="32"/>
        <v>0105989418-551</v>
      </c>
      <c r="K552" s="263"/>
      <c r="L552" s="260">
        <v>15</v>
      </c>
      <c r="M552" s="191"/>
      <c r="N552" s="192"/>
      <c r="O552" s="171">
        <v>251</v>
      </c>
    </row>
    <row r="553" spans="1:15" x14ac:dyDescent="0.35">
      <c r="A553" s="1" t="str">
        <f t="shared" si="31"/>
        <v>15-30</v>
      </c>
      <c r="B553" s="26">
        <v>552</v>
      </c>
      <c r="C553" s="27" t="s">
        <v>1112</v>
      </c>
      <c r="D553" s="187" t="s">
        <v>1113</v>
      </c>
      <c r="E553" s="188" t="s">
        <v>13</v>
      </c>
      <c r="F553" s="189" t="s">
        <v>1107</v>
      </c>
      <c r="G553" s="190">
        <v>5</v>
      </c>
      <c r="H553" s="190" t="str">
        <f t="shared" si="30"/>
        <v>X-8_5</v>
      </c>
      <c r="I553" s="260">
        <v>30</v>
      </c>
      <c r="J553" s="260" t="str">
        <f t="shared" si="32"/>
        <v>0091478597-552</v>
      </c>
      <c r="K553" s="263"/>
      <c r="L553" s="260">
        <v>15</v>
      </c>
      <c r="M553" s="191"/>
      <c r="N553" s="192"/>
      <c r="O553" s="192">
        <v>252</v>
      </c>
    </row>
    <row r="554" spans="1:15" x14ac:dyDescent="0.35">
      <c r="A554" s="1" t="str">
        <f t="shared" si="31"/>
        <v>15-31</v>
      </c>
      <c r="B554" s="26">
        <v>553</v>
      </c>
      <c r="C554" s="27">
        <v>3102972489</v>
      </c>
      <c r="D554" s="187" t="s">
        <v>1114</v>
      </c>
      <c r="E554" s="188" t="s">
        <v>13</v>
      </c>
      <c r="F554" s="189" t="s">
        <v>1107</v>
      </c>
      <c r="G554" s="190">
        <v>6</v>
      </c>
      <c r="H554" s="190" t="str">
        <f t="shared" si="30"/>
        <v>X-8_6</v>
      </c>
      <c r="I554" s="260">
        <v>31</v>
      </c>
      <c r="J554" s="260" t="str">
        <f t="shared" si="32"/>
        <v>3102972489-553</v>
      </c>
      <c r="K554" s="263"/>
      <c r="L554" s="260">
        <v>15</v>
      </c>
      <c r="M554" s="191"/>
      <c r="N554" s="192"/>
      <c r="O554" s="171">
        <v>253</v>
      </c>
    </row>
    <row r="555" spans="1:15" x14ac:dyDescent="0.35">
      <c r="A555" s="1" t="str">
        <f t="shared" si="31"/>
        <v>15-32</v>
      </c>
      <c r="B555" s="26">
        <v>554</v>
      </c>
      <c r="C555" s="27" t="s">
        <v>1115</v>
      </c>
      <c r="D555" s="187" t="s">
        <v>1116</v>
      </c>
      <c r="E555" s="198" t="s">
        <v>13</v>
      </c>
      <c r="F555" s="189" t="s">
        <v>1107</v>
      </c>
      <c r="G555" s="190">
        <v>7</v>
      </c>
      <c r="H555" s="190" t="str">
        <f t="shared" si="30"/>
        <v>X-8_7</v>
      </c>
      <c r="I555" s="260">
        <v>32</v>
      </c>
      <c r="J555" s="260" t="str">
        <f t="shared" si="32"/>
        <v>0098889685-554</v>
      </c>
      <c r="K555" s="263"/>
      <c r="L555" s="260">
        <v>15</v>
      </c>
      <c r="M555" s="191"/>
      <c r="N555" s="192"/>
      <c r="O555" s="192">
        <v>254</v>
      </c>
    </row>
    <row r="556" spans="1:15" x14ac:dyDescent="0.35">
      <c r="A556" s="1" t="str">
        <f t="shared" si="31"/>
        <v>15-33</v>
      </c>
      <c r="B556" s="26">
        <v>555</v>
      </c>
      <c r="C556" s="27" t="s">
        <v>1117</v>
      </c>
      <c r="D556" s="187" t="s">
        <v>1118</v>
      </c>
      <c r="E556" s="188" t="s">
        <v>23</v>
      </c>
      <c r="F556" s="189" t="s">
        <v>1107</v>
      </c>
      <c r="G556" s="190">
        <v>8</v>
      </c>
      <c r="H556" s="190" t="str">
        <f t="shared" ref="H556:H619" si="33">F556&amp;"_"&amp;G556</f>
        <v>X-8_8</v>
      </c>
      <c r="I556" s="260">
        <v>33</v>
      </c>
      <c r="J556" s="260" t="str">
        <f t="shared" si="32"/>
        <v>0109018941-555</v>
      </c>
      <c r="K556" s="263"/>
      <c r="L556" s="260">
        <v>15</v>
      </c>
      <c r="M556" s="191"/>
      <c r="N556" s="192"/>
      <c r="O556" s="171">
        <v>255</v>
      </c>
    </row>
    <row r="557" spans="1:15" x14ac:dyDescent="0.35">
      <c r="A557" s="1" t="str">
        <f t="shared" si="31"/>
        <v>16-17</v>
      </c>
      <c r="B557" s="26">
        <v>556</v>
      </c>
      <c r="C557" s="27" t="s">
        <v>1119</v>
      </c>
      <c r="D557" s="187" t="s">
        <v>1120</v>
      </c>
      <c r="E557" s="188" t="s">
        <v>13</v>
      </c>
      <c r="F557" s="189" t="s">
        <v>1107</v>
      </c>
      <c r="G557" s="190">
        <v>9</v>
      </c>
      <c r="H557" s="190" t="str">
        <f t="shared" si="33"/>
        <v>X-8_9</v>
      </c>
      <c r="I557" s="261">
        <v>17</v>
      </c>
      <c r="J557" s="261" t="str">
        <f t="shared" si="32"/>
        <v>0109749124-556</v>
      </c>
      <c r="K557" s="183"/>
      <c r="L557" s="261">
        <v>16</v>
      </c>
      <c r="M557" s="191"/>
      <c r="N557" s="192"/>
      <c r="O557" s="192">
        <v>256</v>
      </c>
    </row>
    <row r="558" spans="1:15" x14ac:dyDescent="0.35">
      <c r="A558" s="1" t="str">
        <f t="shared" si="31"/>
        <v>16-18</v>
      </c>
      <c r="B558" s="26">
        <v>557</v>
      </c>
      <c r="C558" s="27" t="s">
        <v>1121</v>
      </c>
      <c r="D558" s="187" t="s">
        <v>1122</v>
      </c>
      <c r="E558" s="188" t="s">
        <v>13</v>
      </c>
      <c r="F558" s="189" t="s">
        <v>1107</v>
      </c>
      <c r="G558" s="190">
        <v>10</v>
      </c>
      <c r="H558" s="190" t="str">
        <f t="shared" si="33"/>
        <v>X-8_10</v>
      </c>
      <c r="I558" s="261">
        <v>18</v>
      </c>
      <c r="J558" s="261" t="str">
        <f t="shared" si="32"/>
        <v>0106098566-557</v>
      </c>
      <c r="K558" s="183"/>
      <c r="L558" s="261">
        <v>16</v>
      </c>
      <c r="M558" s="191"/>
      <c r="N558" s="192"/>
      <c r="O558" s="171">
        <v>257</v>
      </c>
    </row>
    <row r="559" spans="1:15" x14ac:dyDescent="0.35">
      <c r="A559" s="1" t="str">
        <f t="shared" si="31"/>
        <v>16-19</v>
      </c>
      <c r="B559" s="26">
        <v>558</v>
      </c>
      <c r="C559" s="27" t="s">
        <v>987</v>
      </c>
      <c r="D559" s="187" t="s">
        <v>1123</v>
      </c>
      <c r="E559" s="188" t="s">
        <v>23</v>
      </c>
      <c r="F559" s="189" t="s">
        <v>1107</v>
      </c>
      <c r="G559" s="190">
        <v>11</v>
      </c>
      <c r="H559" s="190" t="str">
        <f t="shared" si="33"/>
        <v>X-8_11</v>
      </c>
      <c r="I559" s="261">
        <v>19</v>
      </c>
      <c r="J559" s="261" t="str">
        <f t="shared" si="32"/>
        <v>0107223384-558</v>
      </c>
      <c r="K559" s="183"/>
      <c r="L559" s="261">
        <v>16</v>
      </c>
      <c r="M559" s="191"/>
      <c r="N559" s="192"/>
      <c r="O559" s="192">
        <v>258</v>
      </c>
    </row>
    <row r="560" spans="1:15" x14ac:dyDescent="0.35">
      <c r="A560" s="1" t="str">
        <f t="shared" si="31"/>
        <v>16-20</v>
      </c>
      <c r="B560" s="26">
        <v>559</v>
      </c>
      <c r="C560" s="27" t="s">
        <v>1124</v>
      </c>
      <c r="D560" s="187" t="s">
        <v>1125</v>
      </c>
      <c r="E560" s="188" t="s">
        <v>13</v>
      </c>
      <c r="F560" s="189" t="s">
        <v>1107</v>
      </c>
      <c r="G560" s="190">
        <v>12</v>
      </c>
      <c r="H560" s="190" t="str">
        <f t="shared" si="33"/>
        <v>X-8_12</v>
      </c>
      <c r="I560" s="261">
        <v>20</v>
      </c>
      <c r="J560" s="261" t="str">
        <f t="shared" si="32"/>
        <v>0092201133-559</v>
      </c>
      <c r="K560" s="183"/>
      <c r="L560" s="261">
        <v>16</v>
      </c>
      <c r="M560" s="191"/>
      <c r="N560" s="192"/>
      <c r="O560" s="171">
        <v>259</v>
      </c>
    </row>
    <row r="561" spans="1:15" x14ac:dyDescent="0.35">
      <c r="A561" s="1" t="str">
        <f t="shared" si="31"/>
        <v>16-21</v>
      </c>
      <c r="B561" s="26">
        <v>560</v>
      </c>
      <c r="C561" s="27">
        <v>3107012668</v>
      </c>
      <c r="D561" s="187" t="s">
        <v>1126</v>
      </c>
      <c r="E561" s="188" t="s">
        <v>23</v>
      </c>
      <c r="F561" s="189" t="s">
        <v>1107</v>
      </c>
      <c r="G561" s="190">
        <v>13</v>
      </c>
      <c r="H561" s="190" t="str">
        <f t="shared" si="33"/>
        <v>X-8_13</v>
      </c>
      <c r="I561" s="261">
        <v>21</v>
      </c>
      <c r="J561" s="261" t="str">
        <f t="shared" si="32"/>
        <v>3107012668-560</v>
      </c>
      <c r="K561" s="183"/>
      <c r="L561" s="261">
        <v>16</v>
      </c>
      <c r="M561" s="191"/>
      <c r="N561" s="192"/>
      <c r="O561" s="192">
        <v>260</v>
      </c>
    </row>
    <row r="562" spans="1:15" x14ac:dyDescent="0.35">
      <c r="A562" s="1" t="str">
        <f t="shared" si="31"/>
        <v>16-22</v>
      </c>
      <c r="B562" s="26">
        <v>561</v>
      </c>
      <c r="C562" s="27">
        <v>3106138080</v>
      </c>
      <c r="D562" s="187" t="s">
        <v>1127</v>
      </c>
      <c r="E562" s="188" t="s">
        <v>23</v>
      </c>
      <c r="F562" s="189" t="s">
        <v>1107</v>
      </c>
      <c r="G562" s="190">
        <v>14</v>
      </c>
      <c r="H562" s="190" t="str">
        <f t="shared" si="33"/>
        <v>X-8_14</v>
      </c>
      <c r="I562" s="261">
        <v>22</v>
      </c>
      <c r="J562" s="261" t="str">
        <f t="shared" si="32"/>
        <v>3106138080-561</v>
      </c>
      <c r="K562" s="183"/>
      <c r="L562" s="261">
        <v>16</v>
      </c>
      <c r="M562" s="191"/>
      <c r="N562" s="192"/>
      <c r="O562" s="171">
        <v>261</v>
      </c>
    </row>
    <row r="563" spans="1:15" x14ac:dyDescent="0.35">
      <c r="A563" s="1" t="str">
        <f t="shared" si="31"/>
        <v>16-23</v>
      </c>
      <c r="B563" s="26">
        <v>562</v>
      </c>
      <c r="C563" s="27" t="s">
        <v>1128</v>
      </c>
      <c r="D563" s="187" t="s">
        <v>1129</v>
      </c>
      <c r="E563" s="188" t="s">
        <v>23</v>
      </c>
      <c r="F563" s="189" t="s">
        <v>1107</v>
      </c>
      <c r="G563" s="190">
        <v>15</v>
      </c>
      <c r="H563" s="190" t="str">
        <f t="shared" si="33"/>
        <v>X-8_15</v>
      </c>
      <c r="I563" s="261">
        <v>23</v>
      </c>
      <c r="J563" s="261" t="str">
        <f t="shared" si="32"/>
        <v>0109760777-562</v>
      </c>
      <c r="K563" s="183"/>
      <c r="L563" s="261">
        <v>16</v>
      </c>
      <c r="M563" s="191"/>
      <c r="N563" s="192"/>
      <c r="O563" s="192">
        <v>262</v>
      </c>
    </row>
    <row r="564" spans="1:15" x14ac:dyDescent="0.35">
      <c r="A564" s="1" t="str">
        <f t="shared" si="31"/>
        <v>16-24</v>
      </c>
      <c r="B564" s="26">
        <v>563</v>
      </c>
      <c r="C564" s="27" t="s">
        <v>1130</v>
      </c>
      <c r="D564" s="187" t="s">
        <v>1131</v>
      </c>
      <c r="E564" s="188" t="s">
        <v>23</v>
      </c>
      <c r="F564" s="189" t="s">
        <v>1107</v>
      </c>
      <c r="G564" s="190">
        <v>16</v>
      </c>
      <c r="H564" s="190" t="str">
        <f t="shared" si="33"/>
        <v>X-8_16</v>
      </c>
      <c r="I564" s="261">
        <v>24</v>
      </c>
      <c r="J564" s="261" t="str">
        <f t="shared" si="32"/>
        <v>0105726876-563</v>
      </c>
      <c r="K564" s="183"/>
      <c r="L564" s="261">
        <v>16</v>
      </c>
      <c r="M564" s="191"/>
      <c r="N564" s="192"/>
      <c r="O564" s="171">
        <v>263</v>
      </c>
    </row>
    <row r="565" spans="1:15" x14ac:dyDescent="0.35">
      <c r="A565" s="1" t="str">
        <f t="shared" si="31"/>
        <v>16-25</v>
      </c>
      <c r="B565" s="26">
        <v>564</v>
      </c>
      <c r="C565" s="27" t="s">
        <v>1132</v>
      </c>
      <c r="D565" s="187" t="s">
        <v>1133</v>
      </c>
      <c r="E565" s="188" t="s">
        <v>23</v>
      </c>
      <c r="F565" s="189" t="s">
        <v>1107</v>
      </c>
      <c r="G565" s="190">
        <v>17</v>
      </c>
      <c r="H565" s="190" t="str">
        <f t="shared" si="33"/>
        <v>X-8_17</v>
      </c>
      <c r="I565" s="261">
        <v>25</v>
      </c>
      <c r="J565" s="261" t="str">
        <f t="shared" si="32"/>
        <v>0098140824-564</v>
      </c>
      <c r="K565" s="183"/>
      <c r="L565" s="261">
        <v>16</v>
      </c>
      <c r="M565" s="191"/>
      <c r="N565" s="192"/>
      <c r="O565" s="192">
        <v>264</v>
      </c>
    </row>
    <row r="566" spans="1:15" x14ac:dyDescent="0.35">
      <c r="A566" s="1" t="str">
        <f t="shared" si="31"/>
        <v>16-26</v>
      </c>
      <c r="B566" s="26">
        <v>565</v>
      </c>
      <c r="C566" s="27" t="s">
        <v>1134</v>
      </c>
      <c r="D566" s="187" t="s">
        <v>1135</v>
      </c>
      <c r="E566" s="188" t="s">
        <v>23</v>
      </c>
      <c r="F566" s="189" t="s">
        <v>1107</v>
      </c>
      <c r="G566" s="190">
        <v>18</v>
      </c>
      <c r="H566" s="190" t="str">
        <f t="shared" si="33"/>
        <v>X-8_18</v>
      </c>
      <c r="I566" s="261">
        <v>26</v>
      </c>
      <c r="J566" s="261" t="str">
        <f t="shared" si="32"/>
        <v>0104757184-565</v>
      </c>
      <c r="K566" s="183"/>
      <c r="L566" s="261">
        <v>16</v>
      </c>
      <c r="M566" s="191"/>
      <c r="N566" s="192"/>
      <c r="O566" s="171">
        <v>265</v>
      </c>
    </row>
    <row r="567" spans="1:15" x14ac:dyDescent="0.35">
      <c r="A567" s="1" t="str">
        <f t="shared" si="31"/>
        <v>16-27</v>
      </c>
      <c r="B567" s="26">
        <v>566</v>
      </c>
      <c r="C567" s="27" t="s">
        <v>1136</v>
      </c>
      <c r="D567" s="187" t="s">
        <v>1137</v>
      </c>
      <c r="E567" s="188" t="s">
        <v>23</v>
      </c>
      <c r="F567" s="189" t="s">
        <v>1107</v>
      </c>
      <c r="G567" s="190">
        <v>19</v>
      </c>
      <c r="H567" s="190" t="str">
        <f t="shared" si="33"/>
        <v>X-8_19</v>
      </c>
      <c r="I567" s="261">
        <v>27</v>
      </c>
      <c r="J567" s="261" t="str">
        <f t="shared" si="32"/>
        <v>0107345635-566</v>
      </c>
      <c r="K567" s="183"/>
      <c r="L567" s="261">
        <v>16</v>
      </c>
      <c r="M567" s="191"/>
      <c r="N567" s="192"/>
      <c r="O567" s="192">
        <v>266</v>
      </c>
    </row>
    <row r="568" spans="1:15" x14ac:dyDescent="0.35">
      <c r="A568" s="1" t="str">
        <f t="shared" si="31"/>
        <v>16-28</v>
      </c>
      <c r="B568" s="26">
        <v>567</v>
      </c>
      <c r="C568" s="27" t="s">
        <v>1138</v>
      </c>
      <c r="D568" s="187" t="s">
        <v>1139</v>
      </c>
      <c r="E568" s="188" t="s">
        <v>13</v>
      </c>
      <c r="F568" s="189" t="s">
        <v>1107</v>
      </c>
      <c r="G568" s="190">
        <v>20</v>
      </c>
      <c r="H568" s="190" t="str">
        <f t="shared" si="33"/>
        <v>X-8_20</v>
      </c>
      <c r="I568" s="261">
        <v>28</v>
      </c>
      <c r="J568" s="261" t="str">
        <f t="shared" si="32"/>
        <v>0109313359-567</v>
      </c>
      <c r="K568" s="183"/>
      <c r="L568" s="261">
        <v>16</v>
      </c>
      <c r="M568" s="191"/>
      <c r="N568" s="192"/>
      <c r="O568" s="171">
        <v>267</v>
      </c>
    </row>
    <row r="569" spans="1:15" x14ac:dyDescent="0.35">
      <c r="A569" s="1" t="str">
        <f t="shared" si="31"/>
        <v>16-29</v>
      </c>
      <c r="B569" s="26">
        <v>568</v>
      </c>
      <c r="C569" s="27" t="s">
        <v>1140</v>
      </c>
      <c r="D569" s="187" t="s">
        <v>1141</v>
      </c>
      <c r="E569" s="188" t="s">
        <v>13</v>
      </c>
      <c r="F569" s="189" t="s">
        <v>1107</v>
      </c>
      <c r="G569" s="190">
        <v>21</v>
      </c>
      <c r="H569" s="190" t="str">
        <f t="shared" si="33"/>
        <v>X-8_21</v>
      </c>
      <c r="I569" s="261">
        <v>29</v>
      </c>
      <c r="J569" s="261" t="str">
        <f t="shared" si="32"/>
        <v>0094006533-568</v>
      </c>
      <c r="K569" s="183"/>
      <c r="L569" s="261">
        <v>16</v>
      </c>
      <c r="M569" s="191"/>
      <c r="N569" s="192"/>
      <c r="O569" s="192">
        <v>268</v>
      </c>
    </row>
    <row r="570" spans="1:15" x14ac:dyDescent="0.35">
      <c r="A570" s="1" t="str">
        <f t="shared" si="31"/>
        <v>16-30</v>
      </c>
      <c r="B570" s="26">
        <v>569</v>
      </c>
      <c r="C570" s="264" t="s">
        <v>1142</v>
      </c>
      <c r="D570" s="196" t="s">
        <v>1143</v>
      </c>
      <c r="E570" s="265" t="s">
        <v>13</v>
      </c>
      <c r="F570" s="189" t="s">
        <v>1107</v>
      </c>
      <c r="G570" s="190">
        <v>22</v>
      </c>
      <c r="H570" s="190" t="str">
        <f t="shared" si="33"/>
        <v>X-8_22</v>
      </c>
      <c r="I570" s="261">
        <v>30</v>
      </c>
      <c r="J570" s="261" t="str">
        <f t="shared" si="32"/>
        <v>0091217307-569</v>
      </c>
      <c r="K570" s="183"/>
      <c r="L570" s="261">
        <v>16</v>
      </c>
      <c r="M570" s="191"/>
      <c r="N570" s="192"/>
      <c r="O570" s="171">
        <v>269</v>
      </c>
    </row>
    <row r="571" spans="1:15" x14ac:dyDescent="0.35">
      <c r="A571" s="1" t="str">
        <f t="shared" si="31"/>
        <v>16-31</v>
      </c>
      <c r="B571" s="26">
        <v>570</v>
      </c>
      <c r="C571" s="27" t="s">
        <v>1144</v>
      </c>
      <c r="D571" s="187" t="s">
        <v>1145</v>
      </c>
      <c r="E571" s="188" t="s">
        <v>13</v>
      </c>
      <c r="F571" s="189" t="s">
        <v>1107</v>
      </c>
      <c r="G571" s="190">
        <v>23</v>
      </c>
      <c r="H571" s="190" t="str">
        <f t="shared" si="33"/>
        <v>X-8_23</v>
      </c>
      <c r="I571" s="261">
        <v>31</v>
      </c>
      <c r="J571" s="261" t="str">
        <f t="shared" si="32"/>
        <v>0099488291-570</v>
      </c>
      <c r="K571" s="183"/>
      <c r="L571" s="261">
        <v>16</v>
      </c>
      <c r="M571" s="191"/>
      <c r="N571" s="192"/>
      <c r="O571" s="192">
        <v>270</v>
      </c>
    </row>
    <row r="572" spans="1:15" x14ac:dyDescent="0.35">
      <c r="A572" s="1" t="str">
        <f t="shared" si="31"/>
        <v>16-32</v>
      </c>
      <c r="B572" s="26">
        <v>571</v>
      </c>
      <c r="C572" s="27">
        <v>3100116159</v>
      </c>
      <c r="D572" s="187" t="s">
        <v>1146</v>
      </c>
      <c r="E572" s="188" t="s">
        <v>13</v>
      </c>
      <c r="F572" s="189" t="s">
        <v>1107</v>
      </c>
      <c r="G572" s="190">
        <v>24</v>
      </c>
      <c r="H572" s="190" t="str">
        <f t="shared" si="33"/>
        <v>X-8_24</v>
      </c>
      <c r="I572" s="261">
        <v>32</v>
      </c>
      <c r="J572" s="261" t="str">
        <f t="shared" si="32"/>
        <v>3100116159-571</v>
      </c>
      <c r="K572" s="260"/>
      <c r="L572" s="261">
        <v>16</v>
      </c>
      <c r="M572" s="191"/>
      <c r="N572" s="192"/>
      <c r="O572" s="171">
        <v>271</v>
      </c>
    </row>
    <row r="573" spans="1:15" x14ac:dyDescent="0.35">
      <c r="A573" s="1" t="str">
        <f t="shared" si="31"/>
        <v>16-33</v>
      </c>
      <c r="B573" s="26">
        <v>572</v>
      </c>
      <c r="C573" s="27" t="s">
        <v>1147</v>
      </c>
      <c r="D573" s="187" t="s">
        <v>1148</v>
      </c>
      <c r="E573" s="188" t="s">
        <v>13</v>
      </c>
      <c r="F573" s="189" t="s">
        <v>1107</v>
      </c>
      <c r="G573" s="190">
        <v>25</v>
      </c>
      <c r="H573" s="190" t="str">
        <f t="shared" si="33"/>
        <v>X-8_25</v>
      </c>
      <c r="I573" s="261">
        <v>33</v>
      </c>
      <c r="J573" s="261" t="str">
        <f t="shared" si="32"/>
        <v>0105737642-572</v>
      </c>
      <c r="K573" s="260"/>
      <c r="L573" s="261">
        <v>16</v>
      </c>
      <c r="M573" s="191"/>
      <c r="N573" s="192"/>
      <c r="O573" s="192">
        <v>272</v>
      </c>
    </row>
    <row r="574" spans="1:15" x14ac:dyDescent="0.35">
      <c r="A574" s="1" t="str">
        <f t="shared" si="31"/>
        <v>17-17</v>
      </c>
      <c r="B574" s="26">
        <v>573</v>
      </c>
      <c r="C574" s="27" t="s">
        <v>1149</v>
      </c>
      <c r="D574" s="187" t="s">
        <v>1150</v>
      </c>
      <c r="E574" s="188" t="s">
        <v>13</v>
      </c>
      <c r="F574" s="189" t="s">
        <v>1107</v>
      </c>
      <c r="G574" s="190">
        <v>26</v>
      </c>
      <c r="H574" s="190" t="str">
        <f t="shared" si="33"/>
        <v>X-8_26</v>
      </c>
      <c r="I574" s="260">
        <v>17</v>
      </c>
      <c r="J574" s="260" t="str">
        <f t="shared" si="32"/>
        <v>0095469034-573</v>
      </c>
      <c r="K574" s="260"/>
      <c r="L574" s="260">
        <v>17</v>
      </c>
      <c r="M574" s="191"/>
      <c r="N574" s="192"/>
      <c r="O574" s="171">
        <v>273</v>
      </c>
    </row>
    <row r="575" spans="1:15" x14ac:dyDescent="0.35">
      <c r="A575" s="1" t="str">
        <f t="shared" si="31"/>
        <v>17-18</v>
      </c>
      <c r="B575" s="26">
        <v>574</v>
      </c>
      <c r="C575" s="27" t="s">
        <v>1151</v>
      </c>
      <c r="D575" s="187" t="s">
        <v>1152</v>
      </c>
      <c r="E575" s="188" t="s">
        <v>13</v>
      </c>
      <c r="F575" s="189" t="s">
        <v>1107</v>
      </c>
      <c r="G575" s="190">
        <v>27</v>
      </c>
      <c r="H575" s="190" t="str">
        <f t="shared" si="33"/>
        <v>X-8_27</v>
      </c>
      <c r="I575" s="260">
        <v>18</v>
      </c>
      <c r="J575" s="260" t="str">
        <f t="shared" si="32"/>
        <v>0105808459-574</v>
      </c>
      <c r="K575" s="260"/>
      <c r="L575" s="260">
        <v>17</v>
      </c>
      <c r="M575" s="191"/>
      <c r="N575" s="192"/>
      <c r="O575" s="192">
        <v>274</v>
      </c>
    </row>
    <row r="576" spans="1:15" x14ac:dyDescent="0.35">
      <c r="A576" s="1" t="str">
        <f t="shared" si="31"/>
        <v>17-19</v>
      </c>
      <c r="B576" s="26">
        <v>575</v>
      </c>
      <c r="C576" s="27" t="s">
        <v>1153</v>
      </c>
      <c r="D576" s="187" t="s">
        <v>1154</v>
      </c>
      <c r="E576" s="188" t="s">
        <v>13</v>
      </c>
      <c r="F576" s="189" t="s">
        <v>1107</v>
      </c>
      <c r="G576" s="190">
        <v>28</v>
      </c>
      <c r="H576" s="190" t="str">
        <f t="shared" si="33"/>
        <v>X-8_28</v>
      </c>
      <c r="I576" s="260">
        <v>19</v>
      </c>
      <c r="J576" s="260" t="str">
        <f t="shared" si="32"/>
        <v>0108938816-575</v>
      </c>
      <c r="K576" s="260"/>
      <c r="L576" s="260">
        <v>17</v>
      </c>
      <c r="M576" s="191"/>
      <c r="N576" s="192"/>
      <c r="O576" s="171">
        <v>275</v>
      </c>
    </row>
    <row r="577" spans="1:15" x14ac:dyDescent="0.35">
      <c r="A577" s="1" t="str">
        <f t="shared" si="31"/>
        <v>17-20</v>
      </c>
      <c r="B577" s="26">
        <v>576</v>
      </c>
      <c r="C577" s="27" t="s">
        <v>1155</v>
      </c>
      <c r="D577" s="187" t="s">
        <v>1156</v>
      </c>
      <c r="E577" s="188" t="s">
        <v>13</v>
      </c>
      <c r="F577" s="189" t="s">
        <v>1107</v>
      </c>
      <c r="G577" s="190">
        <v>29</v>
      </c>
      <c r="H577" s="190" t="str">
        <f t="shared" si="33"/>
        <v>X-8_29</v>
      </c>
      <c r="I577" s="260">
        <v>20</v>
      </c>
      <c r="J577" s="260" t="str">
        <f t="shared" si="32"/>
        <v>0099857977-576</v>
      </c>
      <c r="K577" s="260"/>
      <c r="L577" s="260">
        <v>17</v>
      </c>
      <c r="M577" s="191"/>
      <c r="N577" s="192"/>
      <c r="O577" s="192">
        <v>276</v>
      </c>
    </row>
    <row r="578" spans="1:15" x14ac:dyDescent="0.35">
      <c r="A578" s="1" t="str">
        <f t="shared" ref="A578:A620" si="34">L578&amp;"-"&amp;I578</f>
        <v>17-21</v>
      </c>
      <c r="B578" s="26">
        <v>577</v>
      </c>
      <c r="C578" s="27" t="s">
        <v>1157</v>
      </c>
      <c r="D578" s="187" t="s">
        <v>1158</v>
      </c>
      <c r="E578" s="188" t="s">
        <v>23</v>
      </c>
      <c r="F578" s="189" t="s">
        <v>1107</v>
      </c>
      <c r="G578" s="190">
        <v>30</v>
      </c>
      <c r="H578" s="190" t="str">
        <f t="shared" si="33"/>
        <v>X-8_30</v>
      </c>
      <c r="I578" s="260">
        <v>21</v>
      </c>
      <c r="J578" s="260" t="str">
        <f t="shared" ref="J578:J620" si="35">C578&amp;"-"&amp;B578</f>
        <v>0101805243-577</v>
      </c>
      <c r="K578" s="260"/>
      <c r="L578" s="260">
        <v>17</v>
      </c>
      <c r="M578" s="191"/>
      <c r="N578" s="192"/>
      <c r="O578" s="171">
        <v>277</v>
      </c>
    </row>
    <row r="579" spans="1:15" x14ac:dyDescent="0.35">
      <c r="A579" s="1" t="str">
        <f t="shared" si="34"/>
        <v>17-22</v>
      </c>
      <c r="B579" s="26">
        <v>578</v>
      </c>
      <c r="C579" s="27" t="s">
        <v>1159</v>
      </c>
      <c r="D579" s="187" t="s">
        <v>1160</v>
      </c>
      <c r="E579" s="198" t="s">
        <v>23</v>
      </c>
      <c r="F579" s="189" t="s">
        <v>1107</v>
      </c>
      <c r="G579" s="190">
        <v>31</v>
      </c>
      <c r="H579" s="190" t="str">
        <f t="shared" si="33"/>
        <v>X-8_31</v>
      </c>
      <c r="I579" s="260">
        <v>22</v>
      </c>
      <c r="J579" s="260" t="str">
        <f t="shared" si="35"/>
        <v>0109014973-578</v>
      </c>
      <c r="K579" s="260"/>
      <c r="L579" s="260">
        <v>17</v>
      </c>
      <c r="M579" s="191"/>
      <c r="N579" s="192"/>
      <c r="O579" s="192">
        <v>278</v>
      </c>
    </row>
    <row r="580" spans="1:15" x14ac:dyDescent="0.35">
      <c r="A580" s="1" t="str">
        <f t="shared" si="34"/>
        <v>17-23</v>
      </c>
      <c r="B580" s="26">
        <v>579</v>
      </c>
      <c r="C580" s="27" t="s">
        <v>1161</v>
      </c>
      <c r="D580" s="187" t="s">
        <v>1162</v>
      </c>
      <c r="E580" s="198" t="s">
        <v>13</v>
      </c>
      <c r="F580" s="189" t="s">
        <v>1107</v>
      </c>
      <c r="G580" s="190">
        <v>32</v>
      </c>
      <c r="H580" s="190" t="str">
        <f t="shared" si="33"/>
        <v>X-8_32</v>
      </c>
      <c r="I580" s="260">
        <v>23</v>
      </c>
      <c r="J580" s="260" t="str">
        <f t="shared" si="35"/>
        <v>0093836663-579</v>
      </c>
      <c r="K580" s="260"/>
      <c r="L580" s="260">
        <v>17</v>
      </c>
      <c r="M580" s="191"/>
      <c r="N580" s="192"/>
      <c r="O580" s="171">
        <v>279</v>
      </c>
    </row>
    <row r="581" spans="1:15" x14ac:dyDescent="0.35">
      <c r="A581" s="1" t="str">
        <f t="shared" si="34"/>
        <v>17-24</v>
      </c>
      <c r="B581" s="26">
        <v>580</v>
      </c>
      <c r="C581" s="27" t="s">
        <v>1163</v>
      </c>
      <c r="D581" s="187" t="s">
        <v>1164</v>
      </c>
      <c r="E581" s="198" t="s">
        <v>13</v>
      </c>
      <c r="F581" s="189" t="s">
        <v>1107</v>
      </c>
      <c r="G581" s="190">
        <v>33</v>
      </c>
      <c r="H581" s="190" t="str">
        <f t="shared" si="33"/>
        <v>X-8_33</v>
      </c>
      <c r="I581" s="260">
        <v>24</v>
      </c>
      <c r="J581" s="260" t="str">
        <f t="shared" si="35"/>
        <v>0109349748-580</v>
      </c>
      <c r="K581" s="260"/>
      <c r="L581" s="260">
        <v>17</v>
      </c>
      <c r="M581" s="191"/>
      <c r="N581" s="192"/>
      <c r="O581" s="192">
        <v>280</v>
      </c>
    </row>
    <row r="582" spans="1:15" x14ac:dyDescent="0.35">
      <c r="A582" s="1" t="str">
        <f t="shared" si="34"/>
        <v>17-25</v>
      </c>
      <c r="B582" s="26">
        <v>581</v>
      </c>
      <c r="C582" s="27" t="s">
        <v>1165</v>
      </c>
      <c r="D582" s="187" t="s">
        <v>1166</v>
      </c>
      <c r="E582" s="198" t="s">
        <v>13</v>
      </c>
      <c r="F582" s="189" t="s">
        <v>1107</v>
      </c>
      <c r="G582" s="190">
        <v>34</v>
      </c>
      <c r="H582" s="190" t="str">
        <f t="shared" si="33"/>
        <v>X-8_34</v>
      </c>
      <c r="I582" s="260">
        <v>25</v>
      </c>
      <c r="J582" s="260" t="str">
        <f t="shared" si="35"/>
        <v>0097324429-581</v>
      </c>
      <c r="K582" s="260"/>
      <c r="L582" s="260">
        <v>17</v>
      </c>
      <c r="M582" s="191"/>
      <c r="N582" s="192"/>
      <c r="O582" s="171">
        <v>281</v>
      </c>
    </row>
    <row r="583" spans="1:15" x14ac:dyDescent="0.35">
      <c r="A583" s="1" t="str">
        <f t="shared" si="34"/>
        <v>17-26</v>
      </c>
      <c r="B583" s="26">
        <v>582</v>
      </c>
      <c r="C583" s="27" t="s">
        <v>1167</v>
      </c>
      <c r="D583" s="187" t="s">
        <v>1168</v>
      </c>
      <c r="E583" s="198" t="s">
        <v>13</v>
      </c>
      <c r="F583" s="189" t="s">
        <v>1107</v>
      </c>
      <c r="G583" s="190">
        <v>35</v>
      </c>
      <c r="H583" s="190" t="str">
        <f t="shared" si="33"/>
        <v>X-8_35</v>
      </c>
      <c r="I583" s="260">
        <v>26</v>
      </c>
      <c r="J583" s="260" t="str">
        <f t="shared" si="35"/>
        <v>0098708363-582</v>
      </c>
      <c r="K583" s="260"/>
      <c r="L583" s="260">
        <v>17</v>
      </c>
      <c r="M583" s="191"/>
      <c r="N583" s="192"/>
      <c r="O583" s="192">
        <v>282</v>
      </c>
    </row>
    <row r="584" spans="1:15" ht="15.5" x14ac:dyDescent="0.35">
      <c r="A584" s="1" t="str">
        <f t="shared" si="34"/>
        <v>17-27</v>
      </c>
      <c r="B584" s="26">
        <v>583</v>
      </c>
      <c r="C584" s="72" t="s">
        <v>1169</v>
      </c>
      <c r="D584" s="266" t="s">
        <v>1170</v>
      </c>
      <c r="E584" s="267" t="s">
        <v>23</v>
      </c>
      <c r="F584" s="268" t="s">
        <v>1107</v>
      </c>
      <c r="G584" s="190">
        <v>36</v>
      </c>
      <c r="H584" s="190" t="str">
        <f t="shared" si="33"/>
        <v>X-8_36</v>
      </c>
      <c r="I584" s="260">
        <v>27</v>
      </c>
      <c r="J584" s="260" t="str">
        <f t="shared" si="35"/>
        <v>0097204019-583</v>
      </c>
      <c r="K584" s="260"/>
      <c r="L584" s="260">
        <v>17</v>
      </c>
      <c r="M584" s="191"/>
      <c r="N584" s="192"/>
      <c r="O584" s="171">
        <v>283</v>
      </c>
    </row>
    <row r="585" spans="1:15" ht="15.5" x14ac:dyDescent="0.35">
      <c r="A585" s="1" t="str">
        <f t="shared" si="34"/>
        <v>17-28</v>
      </c>
      <c r="B585" s="26">
        <v>584</v>
      </c>
      <c r="C585" s="269" t="s">
        <v>1171</v>
      </c>
      <c r="D585" s="270" t="s">
        <v>1172</v>
      </c>
      <c r="E585" s="271" t="s">
        <v>23</v>
      </c>
      <c r="F585" s="272" t="s">
        <v>1173</v>
      </c>
      <c r="G585" s="273">
        <v>1</v>
      </c>
      <c r="H585" s="273" t="str">
        <f t="shared" si="33"/>
        <v>X-9_1</v>
      </c>
      <c r="I585" s="260">
        <v>28</v>
      </c>
      <c r="J585" s="260" t="str">
        <f t="shared" si="35"/>
        <v>0102473968-584</v>
      </c>
      <c r="K585" s="260"/>
      <c r="L585" s="260">
        <v>17</v>
      </c>
      <c r="M585" s="274"/>
      <c r="N585" s="275"/>
      <c r="O585" s="275">
        <v>284</v>
      </c>
    </row>
    <row r="586" spans="1:15" ht="15.5" x14ac:dyDescent="0.35">
      <c r="A586" s="1" t="str">
        <f t="shared" si="34"/>
        <v>17-29</v>
      </c>
      <c r="B586" s="26">
        <v>585</v>
      </c>
      <c r="C586" s="269" t="s">
        <v>1174</v>
      </c>
      <c r="D586" s="270" t="s">
        <v>1175</v>
      </c>
      <c r="E586" s="271" t="s">
        <v>13</v>
      </c>
      <c r="F586" s="272" t="s">
        <v>1173</v>
      </c>
      <c r="G586" s="273">
        <v>2</v>
      </c>
      <c r="H586" s="273" t="str">
        <f t="shared" si="33"/>
        <v>X-9_2</v>
      </c>
      <c r="I586" s="260">
        <v>29</v>
      </c>
      <c r="J586" s="260" t="str">
        <f t="shared" si="35"/>
        <v>0098469888-585</v>
      </c>
      <c r="K586" s="260"/>
      <c r="L586" s="260">
        <v>17</v>
      </c>
      <c r="M586" s="274"/>
      <c r="N586" s="275"/>
      <c r="O586" s="275">
        <v>285</v>
      </c>
    </row>
    <row r="587" spans="1:15" ht="15.5" x14ac:dyDescent="0.35">
      <c r="A587" s="1" t="str">
        <f t="shared" si="34"/>
        <v>17-30</v>
      </c>
      <c r="B587" s="26">
        <v>586</v>
      </c>
      <c r="C587" s="269" t="s">
        <v>1176</v>
      </c>
      <c r="D587" s="270" t="s">
        <v>1177</v>
      </c>
      <c r="E587" s="271" t="s">
        <v>13</v>
      </c>
      <c r="F587" s="272" t="s">
        <v>1173</v>
      </c>
      <c r="G587" s="273">
        <v>3</v>
      </c>
      <c r="H587" s="273" t="str">
        <f t="shared" si="33"/>
        <v>X-9_3</v>
      </c>
      <c r="I587" s="260">
        <v>30</v>
      </c>
      <c r="J587" s="260" t="str">
        <f t="shared" si="35"/>
        <v>0094027915-586</v>
      </c>
      <c r="K587" s="273"/>
      <c r="L587" s="260">
        <v>17</v>
      </c>
      <c r="M587" s="274"/>
      <c r="N587" s="275"/>
      <c r="O587" s="275">
        <v>286</v>
      </c>
    </row>
    <row r="588" spans="1:15" ht="15.5" x14ac:dyDescent="0.35">
      <c r="A588" s="1" t="str">
        <f t="shared" si="34"/>
        <v>17-31</v>
      </c>
      <c r="B588" s="26">
        <v>587</v>
      </c>
      <c r="C588" s="269" t="s">
        <v>1178</v>
      </c>
      <c r="D588" s="270" t="s">
        <v>1179</v>
      </c>
      <c r="E588" s="271" t="s">
        <v>13</v>
      </c>
      <c r="F588" s="272" t="s">
        <v>1173</v>
      </c>
      <c r="G588" s="273">
        <v>4</v>
      </c>
      <c r="H588" s="273" t="str">
        <f t="shared" si="33"/>
        <v>X-9_4</v>
      </c>
      <c r="I588" s="260">
        <v>31</v>
      </c>
      <c r="J588" s="260" t="str">
        <f t="shared" si="35"/>
        <v>0104378438-587</v>
      </c>
      <c r="K588" s="273"/>
      <c r="L588" s="260">
        <v>17</v>
      </c>
      <c r="M588" s="274"/>
      <c r="N588" s="275"/>
      <c r="O588" s="275">
        <v>287</v>
      </c>
    </row>
    <row r="589" spans="1:15" ht="15.5" x14ac:dyDescent="0.35">
      <c r="A589" s="1" t="str">
        <f t="shared" si="34"/>
        <v>17-32</v>
      </c>
      <c r="B589" s="26">
        <v>588</v>
      </c>
      <c r="C589" s="269" t="s">
        <v>1180</v>
      </c>
      <c r="D589" s="270" t="s">
        <v>1181</v>
      </c>
      <c r="E589" s="271" t="s">
        <v>23</v>
      </c>
      <c r="F589" s="272" t="s">
        <v>1173</v>
      </c>
      <c r="G589" s="273">
        <v>5</v>
      </c>
      <c r="H589" s="276" t="str">
        <f t="shared" si="33"/>
        <v>X-9_5</v>
      </c>
      <c r="I589" s="260">
        <v>32</v>
      </c>
      <c r="J589" s="260" t="str">
        <f t="shared" si="35"/>
        <v>0091120264-588</v>
      </c>
      <c r="K589" s="273"/>
      <c r="L589" s="260">
        <v>17</v>
      </c>
      <c r="M589" s="274"/>
      <c r="N589" s="275"/>
      <c r="O589" s="275">
        <v>288</v>
      </c>
    </row>
    <row r="590" spans="1:15" ht="15.5" x14ac:dyDescent="0.35">
      <c r="A590" s="1" t="str">
        <f t="shared" si="34"/>
        <v>17-33</v>
      </c>
      <c r="B590" s="26">
        <v>589</v>
      </c>
      <c r="C590" s="269">
        <v>3107307243</v>
      </c>
      <c r="D590" s="270" t="s">
        <v>1182</v>
      </c>
      <c r="E590" s="271" t="s">
        <v>13</v>
      </c>
      <c r="F590" s="272" t="s">
        <v>1173</v>
      </c>
      <c r="G590" s="273">
        <v>6</v>
      </c>
      <c r="H590" s="276" t="str">
        <f t="shared" si="33"/>
        <v>X-9_6</v>
      </c>
      <c r="I590" s="260">
        <v>33</v>
      </c>
      <c r="J590" s="260" t="str">
        <f t="shared" si="35"/>
        <v>3107307243-589</v>
      </c>
      <c r="K590" s="273"/>
      <c r="L590" s="260">
        <v>17</v>
      </c>
      <c r="M590" s="274"/>
      <c r="N590" s="275"/>
      <c r="O590" s="275">
        <v>289</v>
      </c>
    </row>
    <row r="591" spans="1:15" ht="15.5" x14ac:dyDescent="0.35">
      <c r="A591" s="1" t="str">
        <f t="shared" si="34"/>
        <v>18-17</v>
      </c>
      <c r="B591" s="26">
        <v>590</v>
      </c>
      <c r="C591" s="269" t="s">
        <v>1183</v>
      </c>
      <c r="D591" s="270" t="s">
        <v>1184</v>
      </c>
      <c r="E591" s="271" t="s">
        <v>13</v>
      </c>
      <c r="F591" s="272" t="s">
        <v>1173</v>
      </c>
      <c r="G591" s="273">
        <v>7</v>
      </c>
      <c r="H591" s="276" t="str">
        <f t="shared" si="33"/>
        <v>X-9_7</v>
      </c>
      <c r="I591" s="32">
        <v>17</v>
      </c>
      <c r="J591" s="32" t="str">
        <f t="shared" si="35"/>
        <v>0097574878-590</v>
      </c>
      <c r="K591" s="273"/>
      <c r="L591" s="32">
        <v>18</v>
      </c>
      <c r="M591" s="274"/>
      <c r="N591" s="275"/>
      <c r="O591" s="275">
        <v>290</v>
      </c>
    </row>
    <row r="592" spans="1:15" ht="15.5" x14ac:dyDescent="0.35">
      <c r="A592" s="1" t="str">
        <f t="shared" si="34"/>
        <v>18-18</v>
      </c>
      <c r="B592" s="26">
        <v>591</v>
      </c>
      <c r="C592" s="269" t="s">
        <v>1185</v>
      </c>
      <c r="D592" s="270" t="s">
        <v>1186</v>
      </c>
      <c r="E592" s="271" t="s">
        <v>13</v>
      </c>
      <c r="F592" s="272" t="s">
        <v>1173</v>
      </c>
      <c r="G592" s="273">
        <v>8</v>
      </c>
      <c r="H592" s="276" t="str">
        <f t="shared" si="33"/>
        <v>X-9_8</v>
      </c>
      <c r="I592" s="32">
        <v>18</v>
      </c>
      <c r="J592" s="32" t="str">
        <f t="shared" si="35"/>
        <v>0098115948-591</v>
      </c>
      <c r="K592" s="273"/>
      <c r="L592" s="32">
        <v>18</v>
      </c>
      <c r="M592" s="274"/>
      <c r="N592" s="275"/>
      <c r="O592" s="275">
        <v>291</v>
      </c>
    </row>
    <row r="593" spans="1:15" ht="15.5" x14ac:dyDescent="0.35">
      <c r="A593" s="1" t="str">
        <f t="shared" si="34"/>
        <v>18-19</v>
      </c>
      <c r="B593" s="26">
        <v>592</v>
      </c>
      <c r="C593" s="269" t="s">
        <v>1187</v>
      </c>
      <c r="D593" s="270" t="s">
        <v>1188</v>
      </c>
      <c r="E593" s="271" t="s">
        <v>13</v>
      </c>
      <c r="F593" s="272" t="s">
        <v>1173</v>
      </c>
      <c r="G593" s="273">
        <v>9</v>
      </c>
      <c r="H593" s="276" t="str">
        <f t="shared" si="33"/>
        <v>X-9_9</v>
      </c>
      <c r="I593" s="32">
        <v>19</v>
      </c>
      <c r="J593" s="32" t="str">
        <f t="shared" si="35"/>
        <v>0096478682-592</v>
      </c>
      <c r="K593" s="273"/>
      <c r="L593" s="32">
        <v>18</v>
      </c>
      <c r="M593" s="274"/>
      <c r="N593" s="275"/>
      <c r="O593" s="275">
        <v>292</v>
      </c>
    </row>
    <row r="594" spans="1:15" ht="15.5" x14ac:dyDescent="0.35">
      <c r="A594" s="1" t="str">
        <f t="shared" si="34"/>
        <v>18-20</v>
      </c>
      <c r="B594" s="26">
        <v>593</v>
      </c>
      <c r="C594" s="269" t="s">
        <v>1189</v>
      </c>
      <c r="D594" s="270" t="s">
        <v>1190</v>
      </c>
      <c r="E594" s="271" t="s">
        <v>23</v>
      </c>
      <c r="F594" s="272" t="s">
        <v>1173</v>
      </c>
      <c r="G594" s="273">
        <v>10</v>
      </c>
      <c r="H594" s="276" t="str">
        <f t="shared" si="33"/>
        <v>X-9_10</v>
      </c>
      <c r="I594" s="32">
        <v>20</v>
      </c>
      <c r="J594" s="32" t="str">
        <f t="shared" si="35"/>
        <v>0101644211-593</v>
      </c>
      <c r="K594" s="273"/>
      <c r="L594" s="32">
        <v>18</v>
      </c>
      <c r="M594" s="274"/>
      <c r="N594" s="275"/>
      <c r="O594" s="275">
        <v>293</v>
      </c>
    </row>
    <row r="595" spans="1:15" ht="15.5" x14ac:dyDescent="0.35">
      <c r="A595" s="1" t="str">
        <f t="shared" si="34"/>
        <v>18-21</v>
      </c>
      <c r="B595" s="26">
        <v>594</v>
      </c>
      <c r="C595" s="269" t="s">
        <v>1191</v>
      </c>
      <c r="D595" s="270" t="s">
        <v>1192</v>
      </c>
      <c r="E595" s="271" t="s">
        <v>13</v>
      </c>
      <c r="F595" s="272" t="s">
        <v>1173</v>
      </c>
      <c r="G595" s="273">
        <v>11</v>
      </c>
      <c r="H595" s="273" t="str">
        <f t="shared" si="33"/>
        <v>X-9_11</v>
      </c>
      <c r="I595" s="32">
        <v>21</v>
      </c>
      <c r="J595" s="32" t="str">
        <f t="shared" si="35"/>
        <v>0093234444-594</v>
      </c>
      <c r="K595" s="273"/>
      <c r="L595" s="32">
        <v>18</v>
      </c>
      <c r="M595" s="274"/>
      <c r="N595" s="275"/>
      <c r="O595" s="275">
        <v>294</v>
      </c>
    </row>
    <row r="596" spans="1:15" ht="15.5" x14ac:dyDescent="0.35">
      <c r="A596" s="1" t="str">
        <f t="shared" si="34"/>
        <v>18-22</v>
      </c>
      <c r="B596" s="26">
        <v>595</v>
      </c>
      <c r="C596" s="269" t="s">
        <v>1193</v>
      </c>
      <c r="D596" s="270" t="s">
        <v>1194</v>
      </c>
      <c r="E596" s="271" t="s">
        <v>23</v>
      </c>
      <c r="F596" s="272" t="s">
        <v>1173</v>
      </c>
      <c r="G596" s="273">
        <v>12</v>
      </c>
      <c r="H596" s="273" t="str">
        <f t="shared" si="33"/>
        <v>X-9_12</v>
      </c>
      <c r="I596" s="32">
        <v>22</v>
      </c>
      <c r="J596" s="32" t="str">
        <f t="shared" si="35"/>
        <v>0101264506-595</v>
      </c>
      <c r="K596" s="273"/>
      <c r="L596" s="32">
        <v>18</v>
      </c>
      <c r="M596" s="274"/>
      <c r="N596" s="275"/>
      <c r="O596" s="275">
        <v>295</v>
      </c>
    </row>
    <row r="597" spans="1:15" ht="15.5" x14ac:dyDescent="0.35">
      <c r="A597" s="1" t="str">
        <f t="shared" si="34"/>
        <v>18-23</v>
      </c>
      <c r="B597" s="26">
        <v>596</v>
      </c>
      <c r="C597" s="269" t="s">
        <v>1195</v>
      </c>
      <c r="D597" s="270" t="s">
        <v>1196</v>
      </c>
      <c r="E597" s="271" t="s">
        <v>23</v>
      </c>
      <c r="F597" s="272" t="s">
        <v>1173</v>
      </c>
      <c r="G597" s="273">
        <v>13</v>
      </c>
      <c r="H597" s="273" t="str">
        <f t="shared" si="33"/>
        <v>X-9_13</v>
      </c>
      <c r="I597" s="32">
        <v>23</v>
      </c>
      <c r="J597" s="32" t="str">
        <f t="shared" si="35"/>
        <v>0098601891-596</v>
      </c>
      <c r="K597" s="273"/>
      <c r="L597" s="32">
        <v>18</v>
      </c>
      <c r="M597" s="274"/>
      <c r="N597" s="275"/>
      <c r="O597" s="275">
        <v>296</v>
      </c>
    </row>
    <row r="598" spans="1:15" ht="15.5" x14ac:dyDescent="0.35">
      <c r="A598" s="1" t="str">
        <f t="shared" si="34"/>
        <v>18-24</v>
      </c>
      <c r="B598" s="26">
        <v>597</v>
      </c>
      <c r="C598" s="269" t="s">
        <v>1197</v>
      </c>
      <c r="D598" s="270" t="s">
        <v>1198</v>
      </c>
      <c r="E598" s="271" t="s">
        <v>23</v>
      </c>
      <c r="F598" s="272" t="s">
        <v>1173</v>
      </c>
      <c r="G598" s="273">
        <v>14</v>
      </c>
      <c r="H598" s="273" t="str">
        <f t="shared" si="33"/>
        <v>X-9_14</v>
      </c>
      <c r="I598" s="32">
        <v>24</v>
      </c>
      <c r="J598" s="32" t="str">
        <f t="shared" si="35"/>
        <v>0098290905-597</v>
      </c>
      <c r="K598" s="273"/>
      <c r="L598" s="32">
        <v>18</v>
      </c>
      <c r="M598" s="274"/>
      <c r="N598" s="275"/>
      <c r="O598" s="275">
        <v>297</v>
      </c>
    </row>
    <row r="599" spans="1:15" ht="15.5" x14ac:dyDescent="0.35">
      <c r="A599" s="1" t="str">
        <f t="shared" si="34"/>
        <v>18-25</v>
      </c>
      <c r="B599" s="26">
        <v>598</v>
      </c>
      <c r="C599" s="269" t="s">
        <v>1199</v>
      </c>
      <c r="D599" s="270" t="s">
        <v>1200</v>
      </c>
      <c r="E599" s="271" t="s">
        <v>23</v>
      </c>
      <c r="F599" s="272" t="s">
        <v>1173</v>
      </c>
      <c r="G599" s="273">
        <v>15</v>
      </c>
      <c r="H599" s="273" t="str">
        <f t="shared" si="33"/>
        <v>X-9_15</v>
      </c>
      <c r="I599" s="32">
        <v>25</v>
      </c>
      <c r="J599" s="32" t="str">
        <f t="shared" si="35"/>
        <v>0103140883-598</v>
      </c>
      <c r="K599" s="273"/>
      <c r="L599" s="32">
        <v>18</v>
      </c>
      <c r="M599" s="274"/>
      <c r="N599" s="275"/>
      <c r="O599" s="275">
        <v>298</v>
      </c>
    </row>
    <row r="600" spans="1:15" ht="15.5" x14ac:dyDescent="0.35">
      <c r="A600" s="1" t="str">
        <f t="shared" si="34"/>
        <v>18-26</v>
      </c>
      <c r="B600" s="26">
        <v>599</v>
      </c>
      <c r="C600" s="269" t="s">
        <v>1201</v>
      </c>
      <c r="D600" s="270" t="s">
        <v>1202</v>
      </c>
      <c r="E600" s="271" t="s">
        <v>23</v>
      </c>
      <c r="F600" s="272" t="s">
        <v>1173</v>
      </c>
      <c r="G600" s="273">
        <v>16</v>
      </c>
      <c r="H600" s="273" t="str">
        <f t="shared" si="33"/>
        <v>X-9_16</v>
      </c>
      <c r="I600" s="32">
        <v>26</v>
      </c>
      <c r="J600" s="32" t="str">
        <f t="shared" si="35"/>
        <v>0108068968-599</v>
      </c>
      <c r="K600" s="273"/>
      <c r="L600" s="32">
        <v>18</v>
      </c>
      <c r="M600" s="274"/>
      <c r="N600" s="275"/>
      <c r="O600" s="275">
        <v>299</v>
      </c>
    </row>
    <row r="601" spans="1:15" ht="15.5" x14ac:dyDescent="0.35">
      <c r="A601" s="1" t="str">
        <f t="shared" si="34"/>
        <v>18-27</v>
      </c>
      <c r="B601" s="26">
        <v>600</v>
      </c>
      <c r="C601" s="277" t="s">
        <v>1203</v>
      </c>
      <c r="D601" s="278" t="s">
        <v>1204</v>
      </c>
      <c r="E601" s="279" t="s">
        <v>23</v>
      </c>
      <c r="F601" s="272" t="s">
        <v>1173</v>
      </c>
      <c r="G601" s="273">
        <v>17</v>
      </c>
      <c r="H601" s="273" t="str">
        <f t="shared" si="33"/>
        <v>X-9_17</v>
      </c>
      <c r="I601" s="32">
        <v>27</v>
      </c>
      <c r="J601" s="32" t="str">
        <f t="shared" si="35"/>
        <v>0105351607-600</v>
      </c>
      <c r="K601" s="273"/>
      <c r="L601" s="32">
        <v>18</v>
      </c>
      <c r="M601" s="274"/>
      <c r="N601" s="275"/>
      <c r="O601" s="275">
        <v>300</v>
      </c>
    </row>
    <row r="602" spans="1:15" ht="15.5" x14ac:dyDescent="0.35">
      <c r="A602" s="1" t="str">
        <f t="shared" si="34"/>
        <v>18-28</v>
      </c>
      <c r="B602" s="26">
        <v>601</v>
      </c>
      <c r="C602" s="269">
        <v>3090359272</v>
      </c>
      <c r="D602" s="270" t="s">
        <v>1205</v>
      </c>
      <c r="E602" s="271" t="s">
        <v>23</v>
      </c>
      <c r="F602" s="272" t="s">
        <v>1173</v>
      </c>
      <c r="G602" s="273">
        <v>18</v>
      </c>
      <c r="H602" s="273" t="str">
        <f t="shared" si="33"/>
        <v>X-9_18</v>
      </c>
      <c r="I602" s="32">
        <v>28</v>
      </c>
      <c r="J602" s="32" t="str">
        <f t="shared" si="35"/>
        <v>3090359272-601</v>
      </c>
      <c r="K602" s="273"/>
      <c r="L602" s="32">
        <v>18</v>
      </c>
      <c r="M602" s="274"/>
      <c r="N602" s="275"/>
      <c r="O602" s="275">
        <v>301</v>
      </c>
    </row>
    <row r="603" spans="1:15" ht="15.5" x14ac:dyDescent="0.35">
      <c r="A603" s="1" t="str">
        <f t="shared" si="34"/>
        <v>18-29</v>
      </c>
      <c r="B603" s="26">
        <v>602</v>
      </c>
      <c r="C603" s="269">
        <v>3082571173</v>
      </c>
      <c r="D603" s="270" t="s">
        <v>1206</v>
      </c>
      <c r="E603" s="271" t="s">
        <v>23</v>
      </c>
      <c r="F603" s="272" t="s">
        <v>1173</v>
      </c>
      <c r="G603" s="273">
        <v>19</v>
      </c>
      <c r="H603" s="273" t="str">
        <f t="shared" si="33"/>
        <v>X-9_19</v>
      </c>
      <c r="I603" s="32">
        <v>29</v>
      </c>
      <c r="J603" s="32" t="str">
        <f t="shared" si="35"/>
        <v>3082571173-602</v>
      </c>
      <c r="K603" s="273"/>
      <c r="L603" s="32">
        <v>18</v>
      </c>
      <c r="M603" s="274"/>
      <c r="N603" s="275"/>
      <c r="O603" s="275">
        <v>302</v>
      </c>
    </row>
    <row r="604" spans="1:15" ht="15.5" x14ac:dyDescent="0.35">
      <c r="A604" s="1" t="str">
        <f t="shared" si="34"/>
        <v>18-30</v>
      </c>
      <c r="B604" s="26">
        <v>603</v>
      </c>
      <c r="C604" s="269" t="s">
        <v>1207</v>
      </c>
      <c r="D604" s="270" t="s">
        <v>1208</v>
      </c>
      <c r="E604" s="271" t="s">
        <v>13</v>
      </c>
      <c r="F604" s="272" t="s">
        <v>1173</v>
      </c>
      <c r="G604" s="273">
        <v>20</v>
      </c>
      <c r="H604" s="273" t="str">
        <f t="shared" si="33"/>
        <v>X-9_20</v>
      </c>
      <c r="I604" s="32">
        <v>30</v>
      </c>
      <c r="J604" s="32" t="str">
        <f t="shared" si="35"/>
        <v>0103820496-603</v>
      </c>
      <c r="K604" s="273"/>
      <c r="L604" s="32">
        <v>18</v>
      </c>
      <c r="M604" s="274"/>
      <c r="N604" s="275"/>
      <c r="O604" s="275">
        <v>303</v>
      </c>
    </row>
    <row r="605" spans="1:15" ht="15.5" x14ac:dyDescent="0.35">
      <c r="A605" s="1" t="str">
        <f t="shared" si="34"/>
        <v>18-31</v>
      </c>
      <c r="B605" s="26">
        <v>604</v>
      </c>
      <c r="C605" s="269" t="s">
        <v>1209</v>
      </c>
      <c r="D605" s="270" t="s">
        <v>1210</v>
      </c>
      <c r="E605" s="271" t="s">
        <v>13</v>
      </c>
      <c r="F605" s="272" t="s">
        <v>1173</v>
      </c>
      <c r="G605" s="273">
        <v>21</v>
      </c>
      <c r="H605" s="273" t="str">
        <f t="shared" si="33"/>
        <v>X-9_21</v>
      </c>
      <c r="I605" s="32">
        <v>31</v>
      </c>
      <c r="J605" s="32" t="str">
        <f t="shared" si="35"/>
        <v>0108263077-604</v>
      </c>
      <c r="K605" s="273"/>
      <c r="L605" s="32">
        <v>18</v>
      </c>
      <c r="M605" s="274"/>
      <c r="N605" s="275"/>
      <c r="O605" s="275">
        <v>304</v>
      </c>
    </row>
    <row r="606" spans="1:15" ht="15.5" x14ac:dyDescent="0.35">
      <c r="A606" s="1" t="str">
        <f t="shared" si="34"/>
        <v>18-32</v>
      </c>
      <c r="B606" s="26">
        <v>605</v>
      </c>
      <c r="C606" s="269" t="s">
        <v>1211</v>
      </c>
      <c r="D606" s="270" t="s">
        <v>1212</v>
      </c>
      <c r="E606" s="271" t="s">
        <v>13</v>
      </c>
      <c r="F606" s="272" t="s">
        <v>1173</v>
      </c>
      <c r="G606" s="273">
        <v>22</v>
      </c>
      <c r="H606" s="273" t="str">
        <f t="shared" si="33"/>
        <v>X-9_22</v>
      </c>
      <c r="I606" s="32">
        <v>32</v>
      </c>
      <c r="J606" s="32" t="str">
        <f t="shared" si="35"/>
        <v>0095097594-605</v>
      </c>
      <c r="K606" s="273"/>
      <c r="L606" s="32">
        <v>18</v>
      </c>
      <c r="M606" s="274"/>
      <c r="N606" s="275"/>
      <c r="O606" s="275">
        <v>305</v>
      </c>
    </row>
    <row r="607" spans="1:15" ht="15.5" x14ac:dyDescent="0.35">
      <c r="A607" s="1" t="str">
        <f t="shared" si="34"/>
        <v>18-33</v>
      </c>
      <c r="B607" s="26">
        <v>606</v>
      </c>
      <c r="C607" s="269" t="s">
        <v>1213</v>
      </c>
      <c r="D607" s="270" t="s">
        <v>1214</v>
      </c>
      <c r="E607" s="271" t="s">
        <v>13</v>
      </c>
      <c r="F607" s="272" t="s">
        <v>1173</v>
      </c>
      <c r="G607" s="273">
        <v>23</v>
      </c>
      <c r="H607" s="273" t="str">
        <f t="shared" si="33"/>
        <v>X-9_23</v>
      </c>
      <c r="I607" s="32">
        <v>33</v>
      </c>
      <c r="J607" s="32" t="str">
        <f t="shared" si="35"/>
        <v>0101198076-606</v>
      </c>
      <c r="K607" s="273"/>
      <c r="L607" s="32">
        <v>18</v>
      </c>
      <c r="M607" s="274"/>
      <c r="N607" s="275"/>
      <c r="O607" s="275">
        <v>306</v>
      </c>
    </row>
    <row r="608" spans="1:15" ht="15.5" x14ac:dyDescent="0.35">
      <c r="A608" s="1" t="str">
        <f t="shared" si="34"/>
        <v>19-13</v>
      </c>
      <c r="B608" s="26">
        <v>607</v>
      </c>
      <c r="C608" s="269" t="s">
        <v>1215</v>
      </c>
      <c r="D608" s="270" t="s">
        <v>1216</v>
      </c>
      <c r="E608" s="271" t="s">
        <v>13</v>
      </c>
      <c r="F608" s="272" t="s">
        <v>1173</v>
      </c>
      <c r="G608" s="273">
        <v>24</v>
      </c>
      <c r="H608" s="273" t="str">
        <f t="shared" si="33"/>
        <v>X-9_24</v>
      </c>
      <c r="I608" s="183">
        <v>13</v>
      </c>
      <c r="J608" s="183" t="str">
        <f t="shared" si="35"/>
        <v>0091453479-607</v>
      </c>
      <c r="K608" s="273"/>
      <c r="L608" s="183">
        <v>19</v>
      </c>
      <c r="M608" s="274"/>
      <c r="N608" s="275"/>
      <c r="O608" s="275">
        <v>307</v>
      </c>
    </row>
    <row r="609" spans="1:16" ht="15.5" x14ac:dyDescent="0.35">
      <c r="A609" s="1" t="str">
        <f t="shared" si="34"/>
        <v>19-14</v>
      </c>
      <c r="B609" s="26">
        <v>608</v>
      </c>
      <c r="C609" s="269" t="s">
        <v>1217</v>
      </c>
      <c r="D609" s="270" t="s">
        <v>1218</v>
      </c>
      <c r="E609" s="271" t="s">
        <v>13</v>
      </c>
      <c r="F609" s="272" t="s">
        <v>1173</v>
      </c>
      <c r="G609" s="273">
        <v>25</v>
      </c>
      <c r="H609" s="273" t="str">
        <f t="shared" si="33"/>
        <v>X-9_25</v>
      </c>
      <c r="I609" s="183">
        <v>14</v>
      </c>
      <c r="J609" s="183" t="str">
        <f t="shared" si="35"/>
        <v>0106951177-608</v>
      </c>
      <c r="K609" s="273"/>
      <c r="L609" s="183">
        <v>19</v>
      </c>
      <c r="M609" s="274"/>
      <c r="N609" s="275"/>
      <c r="O609" s="275">
        <v>308</v>
      </c>
    </row>
    <row r="610" spans="1:16" ht="15.5" x14ac:dyDescent="0.35">
      <c r="A610" s="1" t="str">
        <f t="shared" si="34"/>
        <v>19-15</v>
      </c>
      <c r="B610" s="26">
        <v>609</v>
      </c>
      <c r="C610" s="269" t="s">
        <v>1219</v>
      </c>
      <c r="D610" s="270" t="s">
        <v>1220</v>
      </c>
      <c r="E610" s="271" t="s">
        <v>13</v>
      </c>
      <c r="F610" s="272" t="s">
        <v>1173</v>
      </c>
      <c r="G610" s="273">
        <v>26</v>
      </c>
      <c r="H610" s="273" t="str">
        <f t="shared" si="33"/>
        <v>X-9_26</v>
      </c>
      <c r="I610" s="183">
        <v>15</v>
      </c>
      <c r="J610" s="183" t="str">
        <f t="shared" si="35"/>
        <v>0105808674-609</v>
      </c>
      <c r="K610" s="273"/>
      <c r="L610" s="183">
        <v>19</v>
      </c>
      <c r="M610" s="274"/>
      <c r="N610" s="275"/>
      <c r="O610" s="275">
        <v>309</v>
      </c>
    </row>
    <row r="611" spans="1:16" ht="15.5" x14ac:dyDescent="0.35">
      <c r="A611" s="1" t="str">
        <f t="shared" si="34"/>
        <v>19-16</v>
      </c>
      <c r="B611" s="26">
        <v>610</v>
      </c>
      <c r="C611" s="269" t="s">
        <v>1221</v>
      </c>
      <c r="D611" s="270" t="s">
        <v>1222</v>
      </c>
      <c r="E611" s="271" t="s">
        <v>13</v>
      </c>
      <c r="F611" s="272" t="s">
        <v>1173</v>
      </c>
      <c r="G611" s="273">
        <v>27</v>
      </c>
      <c r="H611" s="273" t="str">
        <f t="shared" si="33"/>
        <v>X-9_27</v>
      </c>
      <c r="I611" s="183">
        <v>16</v>
      </c>
      <c r="J611" s="183" t="str">
        <f t="shared" si="35"/>
        <v>0106366872-610</v>
      </c>
      <c r="K611" s="273"/>
      <c r="L611" s="183">
        <v>19</v>
      </c>
      <c r="M611" s="274"/>
      <c r="N611" s="275"/>
      <c r="O611" s="275">
        <v>310</v>
      </c>
    </row>
    <row r="612" spans="1:16" ht="15.5" x14ac:dyDescent="0.35">
      <c r="A612" s="1" t="str">
        <f t="shared" si="34"/>
        <v>19-17</v>
      </c>
      <c r="B612" s="26">
        <v>611</v>
      </c>
      <c r="C612" s="269" t="s">
        <v>1223</v>
      </c>
      <c r="D612" s="270" t="s">
        <v>1224</v>
      </c>
      <c r="E612" s="280" t="s">
        <v>23</v>
      </c>
      <c r="F612" s="272" t="s">
        <v>1173</v>
      </c>
      <c r="G612" s="273">
        <v>28</v>
      </c>
      <c r="H612" s="273" t="str">
        <f t="shared" si="33"/>
        <v>X-9_28</v>
      </c>
      <c r="I612" s="183">
        <v>17</v>
      </c>
      <c r="J612" s="183" t="str">
        <f t="shared" si="35"/>
        <v>0107320968-611</v>
      </c>
      <c r="K612" s="273"/>
      <c r="L612" s="183">
        <v>19</v>
      </c>
      <c r="M612" s="274"/>
      <c r="N612" s="275"/>
      <c r="O612" s="275">
        <v>311</v>
      </c>
    </row>
    <row r="613" spans="1:16" ht="15.5" x14ac:dyDescent="0.35">
      <c r="A613" s="1" t="str">
        <f t="shared" si="34"/>
        <v>19-18</v>
      </c>
      <c r="B613" s="26">
        <v>612</v>
      </c>
      <c r="C613" s="269" t="s">
        <v>1225</v>
      </c>
      <c r="D613" s="270" t="s">
        <v>1226</v>
      </c>
      <c r="E613" s="271" t="s">
        <v>23</v>
      </c>
      <c r="F613" s="272" t="s">
        <v>1173</v>
      </c>
      <c r="G613" s="273">
        <v>29</v>
      </c>
      <c r="H613" s="273" t="str">
        <f t="shared" si="33"/>
        <v>X-9_29</v>
      </c>
      <c r="I613" s="183">
        <v>18</v>
      </c>
      <c r="J613" s="183" t="str">
        <f t="shared" si="35"/>
        <v>0091322570-612</v>
      </c>
      <c r="K613" s="273"/>
      <c r="L613" s="183">
        <v>19</v>
      </c>
      <c r="M613" s="274"/>
      <c r="N613" s="275"/>
      <c r="O613" s="275">
        <v>312</v>
      </c>
    </row>
    <row r="614" spans="1:16" ht="15.5" x14ac:dyDescent="0.35">
      <c r="A614" s="1" t="str">
        <f t="shared" si="34"/>
        <v>19-19</v>
      </c>
      <c r="B614" s="26">
        <v>613</v>
      </c>
      <c r="C614" s="277" t="s">
        <v>1227</v>
      </c>
      <c r="D614" s="278" t="s">
        <v>1228</v>
      </c>
      <c r="E614" s="279" t="s">
        <v>23</v>
      </c>
      <c r="F614" s="272" t="s">
        <v>1173</v>
      </c>
      <c r="G614" s="273">
        <v>30</v>
      </c>
      <c r="H614" s="273" t="str">
        <f t="shared" si="33"/>
        <v>X-9_30</v>
      </c>
      <c r="I614" s="183">
        <v>19</v>
      </c>
      <c r="J614" s="183" t="str">
        <f t="shared" si="35"/>
        <v>0093168004-613</v>
      </c>
      <c r="K614" s="273"/>
      <c r="L614" s="183">
        <v>19</v>
      </c>
      <c r="M614" s="274"/>
      <c r="N614" s="281"/>
      <c r="O614" s="275">
        <v>313</v>
      </c>
      <c r="P614" s="282"/>
    </row>
    <row r="615" spans="1:16" ht="15.5" x14ac:dyDescent="0.35">
      <c r="A615" s="1" t="str">
        <f t="shared" si="34"/>
        <v>19-20</v>
      </c>
      <c r="B615" s="26">
        <v>614</v>
      </c>
      <c r="C615" s="269" t="s">
        <v>1229</v>
      </c>
      <c r="D615" s="270" t="s">
        <v>1230</v>
      </c>
      <c r="E615" s="283" t="s">
        <v>23</v>
      </c>
      <c r="F615" s="272" t="s">
        <v>1173</v>
      </c>
      <c r="G615" s="273">
        <v>31</v>
      </c>
      <c r="H615" s="273" t="str">
        <f t="shared" si="33"/>
        <v>X-9_31</v>
      </c>
      <c r="I615" s="183">
        <v>20</v>
      </c>
      <c r="J615" s="183" t="str">
        <f t="shared" si="35"/>
        <v>0093759943-614</v>
      </c>
      <c r="K615" s="273"/>
      <c r="L615" s="183">
        <v>19</v>
      </c>
      <c r="M615" s="274"/>
      <c r="N615" s="275"/>
      <c r="O615" s="275">
        <v>314</v>
      </c>
    </row>
    <row r="616" spans="1:16" ht="15.5" x14ac:dyDescent="0.35">
      <c r="A616" s="1" t="str">
        <f t="shared" si="34"/>
        <v>19-21</v>
      </c>
      <c r="B616" s="26">
        <v>615</v>
      </c>
      <c r="C616" s="269">
        <v>3113149560</v>
      </c>
      <c r="D616" s="270" t="s">
        <v>1231</v>
      </c>
      <c r="E616" s="283" t="s">
        <v>13</v>
      </c>
      <c r="F616" s="272" t="s">
        <v>1173</v>
      </c>
      <c r="G616" s="273">
        <v>32</v>
      </c>
      <c r="H616" s="273" t="str">
        <f t="shared" si="33"/>
        <v>X-9_32</v>
      </c>
      <c r="I616" s="183">
        <v>21</v>
      </c>
      <c r="J616" s="183" t="str">
        <f t="shared" si="35"/>
        <v>3113149560-615</v>
      </c>
      <c r="K616" s="273"/>
      <c r="L616" s="183">
        <v>19</v>
      </c>
      <c r="M616" s="274"/>
      <c r="N616" s="281"/>
      <c r="O616" s="275">
        <v>315</v>
      </c>
    </row>
    <row r="617" spans="1:16" ht="15.5" x14ac:dyDescent="0.35">
      <c r="A617" s="1" t="str">
        <f t="shared" si="34"/>
        <v>19-22</v>
      </c>
      <c r="B617" s="26">
        <v>616</v>
      </c>
      <c r="C617" s="269" t="s">
        <v>1232</v>
      </c>
      <c r="D617" s="270" t="s">
        <v>1233</v>
      </c>
      <c r="E617" s="283" t="s">
        <v>23</v>
      </c>
      <c r="F617" s="272" t="s">
        <v>1173</v>
      </c>
      <c r="G617" s="273">
        <v>33</v>
      </c>
      <c r="H617" s="273" t="str">
        <f t="shared" si="33"/>
        <v>X-9_33</v>
      </c>
      <c r="I617" s="183">
        <v>22</v>
      </c>
      <c r="J617" s="183" t="str">
        <f t="shared" si="35"/>
        <v>0096627429-616</v>
      </c>
      <c r="K617" s="273"/>
      <c r="L617" s="183">
        <v>19</v>
      </c>
      <c r="M617" s="274"/>
      <c r="N617" s="275"/>
      <c r="O617" s="275">
        <v>316</v>
      </c>
    </row>
    <row r="618" spans="1:16" ht="15.5" x14ac:dyDescent="0.35">
      <c r="A618" s="1" t="str">
        <f t="shared" si="34"/>
        <v>19-23</v>
      </c>
      <c r="B618" s="26">
        <v>617</v>
      </c>
      <c r="C618" s="269" t="s">
        <v>1234</v>
      </c>
      <c r="D618" s="270" t="s">
        <v>1235</v>
      </c>
      <c r="E618" s="283" t="s">
        <v>13</v>
      </c>
      <c r="F618" s="272" t="s">
        <v>1173</v>
      </c>
      <c r="G618" s="273">
        <v>34</v>
      </c>
      <c r="H618" s="273" t="str">
        <f t="shared" si="33"/>
        <v>X-9_34</v>
      </c>
      <c r="I618" s="183">
        <v>23</v>
      </c>
      <c r="J618" s="183" t="str">
        <f t="shared" si="35"/>
        <v>0095277091-617</v>
      </c>
      <c r="K618" s="273"/>
      <c r="L618" s="183">
        <v>19</v>
      </c>
      <c r="M618" s="274"/>
      <c r="N618" s="281"/>
      <c r="O618" s="275">
        <v>317</v>
      </c>
    </row>
    <row r="619" spans="1:16" ht="15.5" x14ac:dyDescent="0.35">
      <c r="A619" s="1" t="str">
        <f t="shared" si="34"/>
        <v>19-24</v>
      </c>
      <c r="B619" s="26">
        <v>618</v>
      </c>
      <c r="C619" s="269" t="s">
        <v>1236</v>
      </c>
      <c r="D619" s="270" t="s">
        <v>1237</v>
      </c>
      <c r="E619" s="283" t="s">
        <v>13</v>
      </c>
      <c r="F619" s="272" t="s">
        <v>1173</v>
      </c>
      <c r="G619" s="273">
        <v>35</v>
      </c>
      <c r="H619" s="273" t="str">
        <f t="shared" si="33"/>
        <v>X-9_35</v>
      </c>
      <c r="I619" s="183">
        <v>24</v>
      </c>
      <c r="J619" s="183" t="str">
        <f t="shared" si="35"/>
        <v>0106987743-618</v>
      </c>
      <c r="K619" s="273"/>
      <c r="L619" s="183">
        <v>19</v>
      </c>
      <c r="M619" s="274"/>
      <c r="N619" s="275"/>
      <c r="O619" s="275">
        <v>318</v>
      </c>
    </row>
    <row r="620" spans="1:16" ht="15.5" x14ac:dyDescent="0.35">
      <c r="A620" s="1" t="str">
        <f t="shared" si="34"/>
        <v>19-25</v>
      </c>
      <c r="B620" s="26">
        <v>619</v>
      </c>
      <c r="C620" s="284" t="s">
        <v>1238</v>
      </c>
      <c r="D620" s="285" t="s">
        <v>1239</v>
      </c>
      <c r="E620" s="286" t="s">
        <v>23</v>
      </c>
      <c r="F620" s="272" t="s">
        <v>1173</v>
      </c>
      <c r="G620" s="273">
        <v>36</v>
      </c>
      <c r="H620" s="273" t="str">
        <f t="shared" ref="H620" si="36">F620&amp;"_"&amp;G620</f>
        <v>X-9_36</v>
      </c>
      <c r="I620" s="183">
        <v>25</v>
      </c>
      <c r="J620" s="183" t="str">
        <f t="shared" si="35"/>
        <v>0089669551-619</v>
      </c>
      <c r="K620" s="287">
        <v>10</v>
      </c>
      <c r="L620" s="183">
        <v>19</v>
      </c>
      <c r="M620" s="274"/>
      <c r="N620" s="281"/>
      <c r="O620" s="275">
        <v>319</v>
      </c>
    </row>
    <row r="621" spans="1:16" ht="26" x14ac:dyDescent="0.35">
      <c r="A621" s="288"/>
      <c r="B621" s="288"/>
      <c r="C621" s="288"/>
      <c r="D621" s="289" t="s">
        <v>1240</v>
      </c>
      <c r="E621" s="288"/>
      <c r="F621" s="288"/>
      <c r="G621" s="288"/>
      <c r="H621" s="288"/>
      <c r="I621" s="288"/>
      <c r="J621" s="288"/>
      <c r="K621" s="288"/>
      <c r="L621" s="288"/>
      <c r="M621" s="288"/>
      <c r="N621" s="288"/>
      <c r="O621" s="288"/>
    </row>
    <row r="622" spans="1:16" x14ac:dyDescent="0.35">
      <c r="C622" s="327" t="s">
        <v>1243</v>
      </c>
    </row>
    <row r="623" spans="1:16" x14ac:dyDescent="0.35">
      <c r="C623" s="326"/>
    </row>
    <row r="624" spans="1:16" x14ac:dyDescent="0.35">
      <c r="C624" s="328" t="s">
        <v>1244</v>
      </c>
    </row>
    <row r="625" spans="2:13" x14ac:dyDescent="0.35">
      <c r="C625" s="328" t="s">
        <v>1246</v>
      </c>
    </row>
    <row r="626" spans="2:13" x14ac:dyDescent="0.35">
      <c r="C626" s="328" t="s">
        <v>1245</v>
      </c>
    </row>
    <row r="627" spans="2:13" x14ac:dyDescent="0.35">
      <c r="C627" s="328" t="s">
        <v>1247</v>
      </c>
    </row>
    <row r="628" spans="2:13" x14ac:dyDescent="0.35">
      <c r="C628" s="326"/>
    </row>
    <row r="629" spans="2:13" x14ac:dyDescent="0.35">
      <c r="D629" t="s">
        <v>1241</v>
      </c>
    </row>
    <row r="630" spans="2:13" ht="15.5" x14ac:dyDescent="0.35">
      <c r="B630" s="291"/>
      <c r="C630" s="292"/>
      <c r="D630" s="293"/>
      <c r="E630" s="294"/>
      <c r="F630" s="295"/>
      <c r="G630" s="296"/>
      <c r="H630" s="296"/>
      <c r="I630" s="296"/>
      <c r="J630" s="296"/>
      <c r="K630" s="296"/>
      <c r="L630" s="296"/>
      <c r="M630">
        <f>J630</f>
        <v>0</v>
      </c>
    </row>
    <row r="631" spans="2:13" ht="15.5" x14ac:dyDescent="0.35">
      <c r="B631" s="291"/>
      <c r="C631" s="292"/>
      <c r="D631" s="293"/>
      <c r="E631" s="294"/>
      <c r="F631" s="295"/>
      <c r="G631" s="296"/>
      <c r="H631" s="296"/>
      <c r="I631" s="296"/>
      <c r="J631" s="296"/>
      <c r="K631" s="296"/>
      <c r="L631" s="296"/>
      <c r="M631" t="str">
        <f t="shared" ref="M631:M661" si="37">M630&amp;"|"&amp;J631</f>
        <v>0|</v>
      </c>
    </row>
    <row r="632" spans="2:13" ht="15.5" x14ac:dyDescent="0.35">
      <c r="B632" s="291"/>
      <c r="C632" s="292"/>
      <c r="D632" s="293"/>
      <c r="E632" s="294"/>
      <c r="F632" s="295"/>
      <c r="G632" s="296"/>
      <c r="H632" s="296"/>
      <c r="I632" s="296"/>
      <c r="J632" s="296"/>
      <c r="K632" s="296"/>
      <c r="L632" s="296"/>
      <c r="M632" t="str">
        <f t="shared" si="37"/>
        <v>0||</v>
      </c>
    </row>
    <row r="633" spans="2:13" ht="15.5" x14ac:dyDescent="0.35">
      <c r="B633" s="291"/>
      <c r="C633" s="292"/>
      <c r="D633" s="293"/>
      <c r="E633" s="294"/>
      <c r="F633" s="295"/>
      <c r="G633" s="296"/>
      <c r="H633" s="296"/>
      <c r="I633" s="296"/>
      <c r="J633" s="296"/>
      <c r="K633" s="296"/>
      <c r="L633" s="296"/>
      <c r="M633" t="str">
        <f t="shared" si="37"/>
        <v>0|||</v>
      </c>
    </row>
    <row r="634" spans="2:13" ht="15.5" x14ac:dyDescent="0.35">
      <c r="B634" s="291"/>
      <c r="C634" s="292"/>
      <c r="D634" s="293"/>
      <c r="E634" s="294"/>
      <c r="F634" s="295"/>
      <c r="G634" s="296"/>
      <c r="H634" s="296"/>
      <c r="I634" s="296"/>
      <c r="J634" s="296"/>
      <c r="K634" s="296"/>
      <c r="L634" s="296"/>
      <c r="M634" t="str">
        <f t="shared" si="37"/>
        <v>0||||</v>
      </c>
    </row>
    <row r="635" spans="2:13" ht="15.5" x14ac:dyDescent="0.35">
      <c r="B635" s="291"/>
      <c r="C635" s="297"/>
      <c r="D635" s="298"/>
      <c r="E635" s="299"/>
      <c r="F635" s="295"/>
      <c r="G635" s="296"/>
      <c r="H635" s="296"/>
      <c r="I635" s="296"/>
      <c r="J635" s="296"/>
      <c r="K635" s="296"/>
      <c r="L635" s="296"/>
      <c r="M635" t="str">
        <f t="shared" si="37"/>
        <v>0|||||</v>
      </c>
    </row>
    <row r="636" spans="2:13" ht="15.5" x14ac:dyDescent="0.35">
      <c r="B636" s="291"/>
      <c r="C636" s="297"/>
      <c r="D636" s="298"/>
      <c r="E636" s="299"/>
      <c r="F636" s="295"/>
      <c r="G636" s="296"/>
      <c r="H636" s="296"/>
      <c r="I636" s="296"/>
      <c r="J636" s="296"/>
      <c r="K636" s="296"/>
      <c r="L636" s="296"/>
      <c r="M636" t="str">
        <f t="shared" si="37"/>
        <v>0||||||</v>
      </c>
    </row>
    <row r="637" spans="2:13" ht="15.5" x14ac:dyDescent="0.35">
      <c r="B637" s="291"/>
      <c r="C637" s="297"/>
      <c r="D637" s="300"/>
      <c r="E637" s="299"/>
      <c r="F637" s="295"/>
      <c r="G637" s="296"/>
      <c r="H637" s="301"/>
      <c r="I637" s="296"/>
      <c r="J637" s="296"/>
      <c r="K637" s="296"/>
      <c r="L637" s="296"/>
      <c r="M637" t="str">
        <f t="shared" si="37"/>
        <v>0|||||||</v>
      </c>
    </row>
    <row r="638" spans="2:13" ht="15.5" x14ac:dyDescent="0.35">
      <c r="B638" s="291"/>
      <c r="C638" s="297"/>
      <c r="D638" s="300"/>
      <c r="E638" s="299"/>
      <c r="F638" s="295"/>
      <c r="G638" s="296"/>
      <c r="H638" s="301"/>
      <c r="I638" s="296"/>
      <c r="J638" s="296"/>
      <c r="K638" s="296"/>
      <c r="L638" s="296"/>
      <c r="M638" t="str">
        <f t="shared" si="37"/>
        <v>0||||||||</v>
      </c>
    </row>
    <row r="639" spans="2:13" ht="15.5" x14ac:dyDescent="0.35">
      <c r="B639" s="291"/>
      <c r="C639" s="297"/>
      <c r="D639" s="300"/>
      <c r="E639" s="299"/>
      <c r="F639" s="295"/>
      <c r="G639" s="296"/>
      <c r="H639" s="301"/>
      <c r="I639" s="296"/>
      <c r="J639" s="296"/>
      <c r="K639" s="296"/>
      <c r="L639" s="296"/>
      <c r="M639" t="str">
        <f t="shared" si="37"/>
        <v>0|||||||||</v>
      </c>
    </row>
    <row r="640" spans="2:13" ht="15.5" x14ac:dyDescent="0.35">
      <c r="B640" s="291"/>
      <c r="C640" s="297"/>
      <c r="D640" s="300"/>
      <c r="E640" s="299"/>
      <c r="F640" s="295"/>
      <c r="G640" s="296"/>
      <c r="H640" s="301"/>
      <c r="I640" s="296"/>
      <c r="J640" s="296"/>
      <c r="K640" s="296"/>
      <c r="L640" s="296"/>
      <c r="M640" t="str">
        <f t="shared" si="37"/>
        <v>0||||||||||</v>
      </c>
    </row>
    <row r="641" spans="2:13" ht="15.5" x14ac:dyDescent="0.35">
      <c r="B641" s="291"/>
      <c r="C641" s="297"/>
      <c r="D641" s="302"/>
      <c r="E641" s="299"/>
      <c r="F641" s="295"/>
      <c r="G641" s="296"/>
      <c r="H641" s="301"/>
      <c r="I641" s="296"/>
      <c r="J641" s="296"/>
      <c r="K641" s="296"/>
      <c r="L641" s="296"/>
      <c r="M641" t="str">
        <f t="shared" si="37"/>
        <v>0|||||||||||</v>
      </c>
    </row>
    <row r="642" spans="2:13" ht="15.5" x14ac:dyDescent="0.35">
      <c r="B642" s="291"/>
      <c r="C642" s="297"/>
      <c r="D642" s="302"/>
      <c r="E642" s="299"/>
      <c r="F642" s="295"/>
      <c r="G642" s="296"/>
      <c r="H642" s="301"/>
      <c r="I642" s="296"/>
      <c r="J642" s="296"/>
      <c r="K642" s="296"/>
      <c r="L642" s="296"/>
      <c r="M642" t="str">
        <f t="shared" si="37"/>
        <v>0||||||||||||</v>
      </c>
    </row>
    <row r="643" spans="2:13" ht="15.5" x14ac:dyDescent="0.35">
      <c r="B643" s="291"/>
      <c r="C643" s="297"/>
      <c r="D643" s="302"/>
      <c r="E643" s="299"/>
      <c r="F643" s="295"/>
      <c r="G643" s="296"/>
      <c r="H643" s="301"/>
      <c r="I643" s="296"/>
      <c r="J643" s="296"/>
      <c r="K643" s="296"/>
      <c r="L643" s="296"/>
      <c r="M643" t="str">
        <f t="shared" si="37"/>
        <v>0|||||||||||||</v>
      </c>
    </row>
    <row r="644" spans="2:13" ht="15.5" x14ac:dyDescent="0.35">
      <c r="B644" s="291"/>
      <c r="C644" s="292"/>
      <c r="D644" s="303"/>
      <c r="E644" s="304"/>
      <c r="F644" s="295"/>
      <c r="G644" s="296"/>
      <c r="H644" s="301"/>
      <c r="I644" s="296"/>
      <c r="J644" s="296"/>
      <c r="K644" s="296"/>
      <c r="L644" s="296"/>
      <c r="M644" t="str">
        <f t="shared" si="37"/>
        <v>0||||||||||||||</v>
      </c>
    </row>
    <row r="645" spans="2:13" ht="15.5" x14ac:dyDescent="0.35">
      <c r="B645" s="291"/>
      <c r="C645" s="292"/>
      <c r="D645" s="302"/>
      <c r="E645" s="299"/>
      <c r="F645" s="295"/>
      <c r="G645" s="296"/>
      <c r="H645" s="301"/>
      <c r="I645" s="296"/>
      <c r="J645" s="296"/>
      <c r="K645" s="296"/>
      <c r="L645" s="296"/>
      <c r="M645" t="str">
        <f t="shared" si="37"/>
        <v>0|||||||||||||||</v>
      </c>
    </row>
    <row r="646" spans="2:13" ht="15.5" x14ac:dyDescent="0.35">
      <c r="B646" s="291"/>
      <c r="C646" s="292"/>
      <c r="D646" s="302"/>
      <c r="E646" s="299"/>
      <c r="F646" s="295"/>
      <c r="G646" s="296"/>
      <c r="H646" s="301"/>
      <c r="I646" s="296"/>
      <c r="J646" s="296"/>
      <c r="K646" s="296"/>
      <c r="L646" s="296"/>
      <c r="M646" t="str">
        <f t="shared" si="37"/>
        <v>0||||||||||||||||</v>
      </c>
    </row>
    <row r="648" spans="2:13" x14ac:dyDescent="0.35">
      <c r="D648" t="s">
        <v>1242</v>
      </c>
    </row>
    <row r="649" spans="2:13" ht="15.5" x14ac:dyDescent="0.35">
      <c r="B649" s="305"/>
      <c r="C649" s="306"/>
      <c r="D649" s="307"/>
      <c r="E649" s="261"/>
      <c r="F649" s="308"/>
      <c r="G649" s="261"/>
      <c r="H649" s="309"/>
      <c r="I649" s="261"/>
      <c r="J649" s="261"/>
      <c r="K649" s="261"/>
      <c r="L649" s="261"/>
      <c r="M649">
        <f>J649</f>
        <v>0</v>
      </c>
    </row>
    <row r="650" spans="2:13" ht="15.5" x14ac:dyDescent="0.35">
      <c r="B650" s="305"/>
      <c r="C650" s="310"/>
      <c r="D650" s="311"/>
      <c r="E650" s="312"/>
      <c r="F650" s="308"/>
      <c r="G650" s="261"/>
      <c r="H650" s="309"/>
      <c r="I650" s="261"/>
      <c r="J650" s="261"/>
      <c r="K650" s="261"/>
      <c r="L650" s="261"/>
      <c r="M650" t="str">
        <f t="shared" si="37"/>
        <v>0|</v>
      </c>
    </row>
    <row r="651" spans="2:13" ht="15.5" x14ac:dyDescent="0.35">
      <c r="B651" s="305"/>
      <c r="C651" s="306"/>
      <c r="D651" s="313"/>
      <c r="E651" s="261"/>
      <c r="F651" s="308"/>
      <c r="G651" s="261"/>
      <c r="H651" s="309"/>
      <c r="I651" s="261"/>
      <c r="J651" s="261"/>
      <c r="K651" s="261"/>
      <c r="L651" s="261"/>
      <c r="M651" t="str">
        <f t="shared" si="37"/>
        <v>0||</v>
      </c>
    </row>
    <row r="652" spans="2:13" ht="15.5" x14ac:dyDescent="0.35">
      <c r="B652" s="305"/>
      <c r="C652" s="306"/>
      <c r="D652" s="313"/>
      <c r="E652" s="261"/>
      <c r="F652" s="308"/>
      <c r="G652" s="261"/>
      <c r="H652" s="309"/>
      <c r="I652" s="261"/>
      <c r="J652" s="261"/>
      <c r="K652" s="261"/>
      <c r="L652" s="261"/>
      <c r="M652" t="str">
        <f t="shared" si="37"/>
        <v>0|||</v>
      </c>
    </row>
    <row r="653" spans="2:13" ht="15.5" x14ac:dyDescent="0.35">
      <c r="B653" s="305"/>
      <c r="C653" s="306"/>
      <c r="D653" s="313"/>
      <c r="E653" s="261"/>
      <c r="F653" s="308"/>
      <c r="G653" s="261"/>
      <c r="H653" s="309"/>
      <c r="I653" s="261"/>
      <c r="J653" s="261"/>
      <c r="K653" s="261"/>
      <c r="L653" s="261"/>
      <c r="M653" t="str">
        <f t="shared" si="37"/>
        <v>0||||</v>
      </c>
    </row>
    <row r="654" spans="2:13" ht="15.5" x14ac:dyDescent="0.35">
      <c r="B654" s="305"/>
      <c r="C654" s="306"/>
      <c r="D654" s="313"/>
      <c r="E654" s="261"/>
      <c r="F654" s="308"/>
      <c r="G654" s="261"/>
      <c r="H654" s="309"/>
      <c r="I654" s="261"/>
      <c r="J654" s="261"/>
      <c r="K654" s="261"/>
      <c r="L654" s="261"/>
      <c r="M654" t="str">
        <f t="shared" si="37"/>
        <v>0|||||</v>
      </c>
    </row>
    <row r="655" spans="2:13" ht="15.5" x14ac:dyDescent="0.35">
      <c r="B655" s="305"/>
      <c r="C655" s="310"/>
      <c r="D655" s="314"/>
      <c r="E655" s="312"/>
      <c r="F655" s="308"/>
      <c r="G655" s="261"/>
      <c r="H655" s="309"/>
      <c r="I655" s="261"/>
      <c r="J655" s="261"/>
      <c r="K655" s="261"/>
      <c r="L655" s="261"/>
      <c r="M655" t="str">
        <f t="shared" si="37"/>
        <v>0||||||</v>
      </c>
    </row>
    <row r="656" spans="2:13" ht="15.5" x14ac:dyDescent="0.35">
      <c r="B656" s="305"/>
      <c r="C656" s="306"/>
      <c r="D656" s="313"/>
      <c r="E656" s="315"/>
      <c r="F656" s="308"/>
      <c r="G656" s="261"/>
      <c r="H656" s="309"/>
      <c r="I656" s="261"/>
      <c r="J656" s="261"/>
      <c r="K656" s="261"/>
      <c r="L656" s="261"/>
      <c r="M656" t="str">
        <f t="shared" si="37"/>
        <v>0|||||||</v>
      </c>
    </row>
    <row r="657" spans="2:13" ht="15.5" x14ac:dyDescent="0.35">
      <c r="B657" s="305"/>
      <c r="C657" s="306"/>
      <c r="D657" s="313"/>
      <c r="E657" s="315"/>
      <c r="F657" s="308"/>
      <c r="G657" s="261"/>
      <c r="H657" s="309"/>
      <c r="I657" s="261"/>
      <c r="J657" s="261"/>
      <c r="K657" s="261"/>
      <c r="L657" s="261"/>
      <c r="M657" t="str">
        <f t="shared" si="37"/>
        <v>0||||||||</v>
      </c>
    </row>
    <row r="658" spans="2:13" ht="15.5" x14ac:dyDescent="0.35">
      <c r="B658" s="305"/>
      <c r="C658" s="306"/>
      <c r="D658" s="313"/>
      <c r="E658" s="315"/>
      <c r="F658" s="308"/>
      <c r="G658" s="261"/>
      <c r="H658" s="309"/>
      <c r="I658" s="261"/>
      <c r="J658" s="261"/>
      <c r="K658" s="261"/>
      <c r="L658" s="261"/>
      <c r="M658" t="str">
        <f t="shared" si="37"/>
        <v>0|||||||||</v>
      </c>
    </row>
    <row r="659" spans="2:13" ht="15.5" x14ac:dyDescent="0.35">
      <c r="B659" s="305"/>
      <c r="C659" s="306"/>
      <c r="D659" s="307"/>
      <c r="E659" s="315"/>
      <c r="F659" s="308"/>
      <c r="G659" s="261"/>
      <c r="H659" s="309"/>
      <c r="I659" s="261"/>
      <c r="J659" s="261"/>
      <c r="K659" s="261"/>
      <c r="L659" s="261"/>
      <c r="M659" t="str">
        <f t="shared" si="37"/>
        <v>0||||||||||</v>
      </c>
    </row>
    <row r="660" spans="2:13" ht="15.5" x14ac:dyDescent="0.35">
      <c r="B660" s="305"/>
      <c r="C660" s="306"/>
      <c r="D660" s="307"/>
      <c r="E660" s="315"/>
      <c r="F660" s="308"/>
      <c r="G660" s="261"/>
      <c r="H660" s="309"/>
      <c r="I660" s="261"/>
      <c r="J660" s="261"/>
      <c r="K660" s="261"/>
      <c r="L660" s="261"/>
      <c r="M660" t="str">
        <f t="shared" si="37"/>
        <v>0|||||||||||</v>
      </c>
    </row>
    <row r="661" spans="2:13" ht="18.5" x14ac:dyDescent="0.35">
      <c r="B661" s="305"/>
      <c r="C661" s="316"/>
      <c r="D661" s="317"/>
      <c r="E661" s="318"/>
      <c r="F661" s="319"/>
      <c r="G661" s="261"/>
      <c r="H661" s="309"/>
      <c r="I661" s="261"/>
      <c r="J661" s="261"/>
      <c r="K661" s="261"/>
      <c r="L661" s="261"/>
      <c r="M661" s="320" t="str">
        <f t="shared" si="37"/>
        <v>0||||||||||||</v>
      </c>
    </row>
  </sheetData>
  <conditionalFormatting sqref="C395">
    <cfRule type="duplicateValues" dxfId="289" priority="96"/>
    <cfRule type="duplicateValues" dxfId="288" priority="97"/>
  </conditionalFormatting>
  <conditionalFormatting sqref="C630">
    <cfRule type="duplicateValues" dxfId="287" priority="92"/>
    <cfRule type="duplicateValues" dxfId="286" priority="94"/>
  </conditionalFormatting>
  <conditionalFormatting sqref="D630">
    <cfRule type="duplicateValues" dxfId="285" priority="93"/>
  </conditionalFormatting>
  <conditionalFormatting sqref="J630">
    <cfRule type="duplicateValues" dxfId="284" priority="95"/>
  </conditionalFormatting>
  <conditionalFormatting sqref="C631">
    <cfRule type="duplicateValues" dxfId="283" priority="88"/>
    <cfRule type="duplicateValues" dxfId="282" priority="90"/>
  </conditionalFormatting>
  <conditionalFormatting sqref="D631">
    <cfRule type="duplicateValues" dxfId="281" priority="89"/>
  </conditionalFormatting>
  <conditionalFormatting sqref="J631">
    <cfRule type="duplicateValues" dxfId="280" priority="91"/>
  </conditionalFormatting>
  <conditionalFormatting sqref="C632">
    <cfRule type="duplicateValues" dxfId="279" priority="82"/>
    <cfRule type="duplicateValues" dxfId="278" priority="83"/>
    <cfRule type="duplicateValues" dxfId="277" priority="84"/>
    <cfRule type="duplicateValues" dxfId="276" priority="86"/>
  </conditionalFormatting>
  <conditionalFormatting sqref="D632">
    <cfRule type="duplicateValues" dxfId="275" priority="85"/>
  </conditionalFormatting>
  <conditionalFormatting sqref="J632">
    <cfRule type="duplicateValues" dxfId="274" priority="87"/>
  </conditionalFormatting>
  <conditionalFormatting sqref="C633">
    <cfRule type="duplicateValues" dxfId="273" priority="76"/>
    <cfRule type="duplicateValues" dxfId="272" priority="77"/>
    <cfRule type="duplicateValues" dxfId="271" priority="78"/>
    <cfRule type="duplicateValues" dxfId="270" priority="80"/>
  </conditionalFormatting>
  <conditionalFormatting sqref="D633">
    <cfRule type="duplicateValues" dxfId="269" priority="79"/>
  </conditionalFormatting>
  <conditionalFormatting sqref="J633">
    <cfRule type="duplicateValues" dxfId="268" priority="81"/>
  </conditionalFormatting>
  <conditionalFormatting sqref="C634">
    <cfRule type="duplicateValues" dxfId="267" priority="70"/>
    <cfRule type="duplicateValues" dxfId="266" priority="71"/>
    <cfRule type="duplicateValues" dxfId="265" priority="72"/>
    <cfRule type="duplicateValues" dxfId="264" priority="74"/>
  </conditionalFormatting>
  <conditionalFormatting sqref="D634">
    <cfRule type="duplicateValues" dxfId="263" priority="73"/>
  </conditionalFormatting>
  <conditionalFormatting sqref="J634">
    <cfRule type="duplicateValues" dxfId="262" priority="75"/>
  </conditionalFormatting>
  <conditionalFormatting sqref="C635">
    <cfRule type="duplicateValues" dxfId="261" priority="66"/>
    <cfRule type="duplicateValues" dxfId="260" priority="68"/>
  </conditionalFormatting>
  <conditionalFormatting sqref="D635">
    <cfRule type="duplicateValues" dxfId="259" priority="67"/>
  </conditionalFormatting>
  <conditionalFormatting sqref="J635">
    <cfRule type="duplicateValues" dxfId="258" priority="69"/>
  </conditionalFormatting>
  <conditionalFormatting sqref="C636">
    <cfRule type="duplicateValues" dxfId="257" priority="60"/>
    <cfRule type="duplicateValues" dxfId="256" priority="61"/>
    <cfRule type="duplicateValues" dxfId="255" priority="62"/>
    <cfRule type="duplicateValues" dxfId="254" priority="64"/>
  </conditionalFormatting>
  <conditionalFormatting sqref="D636">
    <cfRule type="duplicateValues" dxfId="253" priority="63"/>
  </conditionalFormatting>
  <conditionalFormatting sqref="J636">
    <cfRule type="duplicateValues" dxfId="252" priority="65"/>
  </conditionalFormatting>
  <conditionalFormatting sqref="C638">
    <cfRule type="duplicateValues" dxfId="251" priority="53"/>
  </conditionalFormatting>
  <conditionalFormatting sqref="C640">
    <cfRule type="duplicateValues" dxfId="250" priority="49"/>
  </conditionalFormatting>
  <conditionalFormatting sqref="D640">
    <cfRule type="duplicateValues" dxfId="249" priority="50"/>
  </conditionalFormatting>
  <conditionalFormatting sqref="C643">
    <cfRule type="duplicateValues" dxfId="248" priority="23" stopIfTrue="1"/>
    <cfRule type="duplicateValues" dxfId="247" priority="24" stopIfTrue="1"/>
    <cfRule type="duplicateValues" dxfId="246" priority="25" stopIfTrue="1"/>
    <cfRule type="duplicateValues" dxfId="245" priority="26" stopIfTrue="1"/>
    <cfRule type="duplicateValues" dxfId="244" priority="27" stopIfTrue="1"/>
    <cfRule type="duplicateValues" dxfId="243" priority="28" stopIfTrue="1"/>
    <cfRule type="duplicateValues" dxfId="242" priority="29" stopIfTrue="1"/>
    <cfRule type="duplicateValues" dxfId="241" priority="30" stopIfTrue="1"/>
    <cfRule type="duplicateValues" dxfId="240" priority="32" stopIfTrue="1"/>
    <cfRule type="duplicateValues" dxfId="239" priority="33" stopIfTrue="1"/>
    <cfRule type="duplicateValues" dxfId="238" priority="34" stopIfTrue="1"/>
    <cfRule type="duplicateValues" dxfId="237" priority="35" stopIfTrue="1"/>
    <cfRule type="duplicateValues" dxfId="236" priority="36" stopIfTrue="1"/>
    <cfRule type="duplicateValues" dxfId="235" priority="37" stopIfTrue="1"/>
    <cfRule type="duplicateValues" dxfId="234" priority="38" stopIfTrue="1"/>
    <cfRule type="duplicateValues" dxfId="233" priority="39" stopIfTrue="1"/>
    <cfRule type="duplicateValues" dxfId="232" priority="40"/>
    <cfRule type="duplicateValues" dxfId="231" priority="41"/>
  </conditionalFormatting>
  <conditionalFormatting sqref="C644">
    <cfRule type="duplicateValues" dxfId="230" priority="18"/>
    <cfRule type="duplicateValues" dxfId="229" priority="19"/>
  </conditionalFormatting>
  <conditionalFormatting sqref="C654">
    <cfRule type="duplicateValues" dxfId="228" priority="11"/>
    <cfRule type="duplicateValues" dxfId="227" priority="12"/>
  </conditionalFormatting>
  <conditionalFormatting sqref="C655">
    <cfRule type="duplicateValues" dxfId="226" priority="9"/>
    <cfRule type="duplicateValues" dxfId="225" priority="10"/>
  </conditionalFormatting>
  <conditionalFormatting sqref="C660">
    <cfRule type="duplicateValues" dxfId="224" priority="1"/>
    <cfRule type="duplicateValues" dxfId="223" priority="2"/>
    <cfRule type="duplicateValues" dxfId="222" priority="3"/>
    <cfRule type="duplicateValues" dxfId="221" priority="4"/>
  </conditionalFormatting>
  <conditionalFormatting sqref="C2:C3">
    <cfRule type="duplicateValues" dxfId="220" priority="287"/>
  </conditionalFormatting>
  <conditionalFormatting sqref="C2:C614">
    <cfRule type="duplicateValues" dxfId="219" priority="289"/>
  </conditionalFormatting>
  <conditionalFormatting sqref="C4:C36">
    <cfRule type="duplicateValues" dxfId="218" priority="260"/>
  </conditionalFormatting>
  <conditionalFormatting sqref="C12:C36">
    <cfRule type="duplicateValues" dxfId="217" priority="269"/>
    <cfRule type="duplicateValues" dxfId="216" priority="270"/>
  </conditionalFormatting>
  <conditionalFormatting sqref="C33:C34">
    <cfRule type="duplicateValues" dxfId="215" priority="261"/>
    <cfRule type="duplicateValues" dxfId="214" priority="262"/>
  </conditionalFormatting>
  <conditionalFormatting sqref="C34:C35">
    <cfRule type="duplicateValues" dxfId="213" priority="263"/>
    <cfRule type="duplicateValues" dxfId="212" priority="264"/>
    <cfRule type="duplicateValues" dxfId="211" priority="265"/>
    <cfRule type="duplicateValues" dxfId="210" priority="266"/>
  </conditionalFormatting>
  <conditionalFormatting sqref="C35:C36">
    <cfRule type="duplicateValues" dxfId="209" priority="267"/>
    <cfRule type="duplicateValues" dxfId="208" priority="268"/>
  </conditionalFormatting>
  <conditionalFormatting sqref="C37:C70">
    <cfRule type="duplicateValues" dxfId="207" priority="271"/>
  </conditionalFormatting>
  <conditionalFormatting sqref="C47:C62">
    <cfRule type="duplicateValues" dxfId="206" priority="272"/>
    <cfRule type="duplicateValues" dxfId="205" priority="273"/>
  </conditionalFormatting>
  <conditionalFormatting sqref="C66:C70">
    <cfRule type="duplicateValues" dxfId="204" priority="274" stopIfTrue="1"/>
    <cfRule type="duplicateValues" dxfId="203" priority="275" stopIfTrue="1"/>
    <cfRule type="duplicateValues" dxfId="202" priority="276" stopIfTrue="1"/>
    <cfRule type="duplicateValues" dxfId="201" priority="277" stopIfTrue="1"/>
  </conditionalFormatting>
  <conditionalFormatting sqref="C70:C99">
    <cfRule type="duplicateValues" dxfId="200" priority="258"/>
    <cfRule type="duplicateValues" dxfId="199" priority="259"/>
  </conditionalFormatting>
  <conditionalFormatting sqref="C70:C104">
    <cfRule type="duplicateValues" dxfId="198" priority="254"/>
  </conditionalFormatting>
  <conditionalFormatting sqref="C84:C88">
    <cfRule type="duplicateValues" dxfId="197" priority="257"/>
  </conditionalFormatting>
  <conditionalFormatting sqref="C102:C104">
    <cfRule type="duplicateValues" dxfId="196" priority="255"/>
    <cfRule type="duplicateValues" dxfId="195" priority="256"/>
  </conditionalFormatting>
  <conditionalFormatting sqref="C103:C130">
    <cfRule type="duplicateValues" dxfId="194" priority="252"/>
    <cfRule type="duplicateValues" dxfId="193" priority="253"/>
  </conditionalFormatting>
  <conditionalFormatting sqref="C103:C134">
    <cfRule type="duplicateValues" dxfId="192" priority="243"/>
  </conditionalFormatting>
  <conditionalFormatting sqref="C126:C129">
    <cfRule type="duplicateValues" dxfId="191" priority="235" stopIfTrue="1"/>
    <cfRule type="duplicateValues" dxfId="190" priority="236" stopIfTrue="1"/>
    <cfRule type="duplicateValues" dxfId="189" priority="237" stopIfTrue="1"/>
    <cfRule type="duplicateValues" dxfId="188" priority="238" stopIfTrue="1"/>
  </conditionalFormatting>
  <conditionalFormatting sqref="C127:C130">
    <cfRule type="duplicateValues" dxfId="187" priority="239" stopIfTrue="1"/>
    <cfRule type="duplicateValues" dxfId="186" priority="240" stopIfTrue="1"/>
    <cfRule type="duplicateValues" dxfId="185" priority="241" stopIfTrue="1"/>
    <cfRule type="duplicateValues" dxfId="184" priority="242" stopIfTrue="1"/>
    <cfRule type="duplicateValues" dxfId="183" priority="244" stopIfTrue="1"/>
    <cfRule type="duplicateValues" dxfId="182" priority="245" stopIfTrue="1"/>
    <cfRule type="duplicateValues" dxfId="181" priority="246" stopIfTrue="1"/>
    <cfRule type="duplicateValues" dxfId="180" priority="247" stopIfTrue="1"/>
  </conditionalFormatting>
  <conditionalFormatting sqref="C128:C131">
    <cfRule type="duplicateValues" dxfId="179" priority="248" stopIfTrue="1"/>
    <cfRule type="duplicateValues" dxfId="178" priority="249" stopIfTrue="1"/>
    <cfRule type="duplicateValues" dxfId="177" priority="250" stopIfTrue="1"/>
    <cfRule type="duplicateValues" dxfId="176" priority="251" stopIfTrue="1"/>
  </conditionalFormatting>
  <conditionalFormatting sqref="C133:C135">
    <cfRule type="duplicateValues" dxfId="175" priority="227"/>
    <cfRule type="duplicateValues" dxfId="174" priority="228"/>
  </conditionalFormatting>
  <conditionalFormatting sqref="C133:C168">
    <cfRule type="duplicateValues" dxfId="173" priority="224"/>
  </conditionalFormatting>
  <conditionalFormatting sqref="C134:C164">
    <cfRule type="duplicateValues" dxfId="172" priority="233"/>
    <cfRule type="duplicateValues" dxfId="171" priority="234"/>
  </conditionalFormatting>
  <conditionalFormatting sqref="C157:C162">
    <cfRule type="duplicateValues" dxfId="170" priority="229" stopIfTrue="1"/>
    <cfRule type="duplicateValues" dxfId="169" priority="230" stopIfTrue="1"/>
    <cfRule type="duplicateValues" dxfId="168" priority="231" stopIfTrue="1"/>
    <cfRule type="duplicateValues" dxfId="167" priority="232" stopIfTrue="1"/>
  </conditionalFormatting>
  <conditionalFormatting sqref="C163:C168">
    <cfRule type="duplicateValues" dxfId="166" priority="225"/>
    <cfRule type="duplicateValues" dxfId="165" priority="226"/>
  </conditionalFormatting>
  <conditionalFormatting sqref="C165:C178">
    <cfRule type="duplicateValues" dxfId="164" priority="222"/>
    <cfRule type="duplicateValues" dxfId="163" priority="223"/>
  </conditionalFormatting>
  <conditionalFormatting sqref="C165:C203">
    <cfRule type="duplicateValues" dxfId="162" priority="209"/>
  </conditionalFormatting>
  <conditionalFormatting sqref="C175:C197">
    <cfRule type="duplicateValues" dxfId="161" priority="220"/>
    <cfRule type="duplicateValues" dxfId="160" priority="221"/>
  </conditionalFormatting>
  <conditionalFormatting sqref="C188:C194">
    <cfRule type="duplicateValues" dxfId="159" priority="218"/>
    <cfRule type="duplicateValues" dxfId="158" priority="219"/>
  </conditionalFormatting>
  <conditionalFormatting sqref="C195:C201">
    <cfRule type="duplicateValues" dxfId="157" priority="216"/>
    <cfRule type="duplicateValues" dxfId="156" priority="217"/>
  </conditionalFormatting>
  <conditionalFormatting sqref="C196:C202">
    <cfRule type="duplicateValues" dxfId="155" priority="214"/>
    <cfRule type="duplicateValues" dxfId="154" priority="215"/>
  </conditionalFormatting>
  <conditionalFormatting sqref="C197:C203">
    <cfRule type="duplicateValues" dxfId="153" priority="212"/>
    <cfRule type="duplicateValues" dxfId="152" priority="213"/>
  </conditionalFormatting>
  <conditionalFormatting sqref="C198:C203">
    <cfRule type="duplicateValues" dxfId="151" priority="210"/>
    <cfRule type="duplicateValues" dxfId="150" priority="211"/>
  </conditionalFormatting>
  <conditionalFormatting sqref="C199:C231">
    <cfRule type="duplicateValues" dxfId="149" priority="207"/>
    <cfRule type="duplicateValues" dxfId="148" priority="208"/>
  </conditionalFormatting>
  <conditionalFormatting sqref="C199:C235">
    <cfRule type="duplicateValues" dxfId="147" priority="204"/>
  </conditionalFormatting>
  <conditionalFormatting sqref="C228:C232">
    <cfRule type="duplicateValues" dxfId="146" priority="205"/>
    <cfRule type="duplicateValues" dxfId="145" priority="206"/>
  </conditionalFormatting>
  <conditionalFormatting sqref="C232:C263">
    <cfRule type="duplicateValues" dxfId="144" priority="202"/>
    <cfRule type="duplicateValues" dxfId="143" priority="203"/>
  </conditionalFormatting>
  <conditionalFormatting sqref="C232:C264">
    <cfRule type="duplicateValues" dxfId="142" priority="171"/>
  </conditionalFormatting>
  <conditionalFormatting sqref="C257:C263">
    <cfRule type="duplicateValues" dxfId="141" priority="176"/>
    <cfRule type="duplicateValues" dxfId="140" priority="177"/>
  </conditionalFormatting>
  <conditionalFormatting sqref="C258:C264">
    <cfRule type="duplicateValues" dxfId="139" priority="178"/>
    <cfRule type="duplicateValues" dxfId="138" priority="179"/>
    <cfRule type="duplicateValues" dxfId="137" priority="184"/>
    <cfRule type="duplicateValues" dxfId="136" priority="185"/>
    <cfRule type="duplicateValues" dxfId="135" priority="192"/>
    <cfRule type="duplicateValues" dxfId="134" priority="193"/>
  </conditionalFormatting>
  <conditionalFormatting sqref="C259:C264">
    <cfRule type="duplicateValues" dxfId="133" priority="172"/>
    <cfRule type="duplicateValues" dxfId="132" priority="173"/>
    <cfRule type="duplicateValues" dxfId="131" priority="174"/>
    <cfRule type="duplicateValues" dxfId="130" priority="175"/>
    <cfRule type="duplicateValues" dxfId="129" priority="182"/>
    <cfRule type="duplicateValues" dxfId="128" priority="183"/>
    <cfRule type="duplicateValues" dxfId="127" priority="186"/>
    <cfRule type="duplicateValues" dxfId="126" priority="187"/>
    <cfRule type="duplicateValues" dxfId="125" priority="190"/>
    <cfRule type="duplicateValues" dxfId="124" priority="191"/>
    <cfRule type="duplicateValues" dxfId="123" priority="194"/>
    <cfRule type="duplicateValues" dxfId="122" priority="195"/>
    <cfRule type="duplicateValues" dxfId="121" priority="198"/>
    <cfRule type="duplicateValues" dxfId="120" priority="199"/>
    <cfRule type="duplicateValues" dxfId="119" priority="200"/>
    <cfRule type="duplicateValues" dxfId="118" priority="201"/>
  </conditionalFormatting>
  <conditionalFormatting sqref="C260:C264">
    <cfRule type="duplicateValues" dxfId="117" priority="180"/>
    <cfRule type="duplicateValues" dxfId="116" priority="181"/>
    <cfRule type="duplicateValues" dxfId="115" priority="188"/>
    <cfRule type="duplicateValues" dxfId="114" priority="189"/>
    <cfRule type="duplicateValues" dxfId="113" priority="196"/>
    <cfRule type="duplicateValues" dxfId="112" priority="197"/>
  </conditionalFormatting>
  <conditionalFormatting sqref="C261:C291">
    <cfRule type="duplicateValues" dxfId="111" priority="169"/>
    <cfRule type="duplicateValues" dxfId="110" priority="170"/>
  </conditionalFormatting>
  <conditionalFormatting sqref="C261:C296">
    <cfRule type="duplicateValues" dxfId="109" priority="142"/>
  </conditionalFormatting>
  <conditionalFormatting sqref="C288:C291">
    <cfRule type="duplicateValues" dxfId="108" priority="155"/>
    <cfRule type="duplicateValues" dxfId="107" priority="156"/>
  </conditionalFormatting>
  <conditionalFormatting sqref="C289:C292">
    <cfRule type="duplicateValues" dxfId="106" priority="151" stopIfTrue="1"/>
    <cfRule type="duplicateValues" dxfId="105" priority="152" stopIfTrue="1"/>
    <cfRule type="duplicateValues" dxfId="104" priority="153" stopIfTrue="1"/>
    <cfRule type="duplicateValues" dxfId="103" priority="154" stopIfTrue="1"/>
    <cfRule type="duplicateValues" dxfId="102" priority="167"/>
    <cfRule type="duplicateValues" dxfId="101" priority="168"/>
  </conditionalFormatting>
  <conditionalFormatting sqref="C290:C293">
    <cfRule type="duplicateValues" dxfId="100" priority="149"/>
    <cfRule type="duplicateValues" dxfId="99" priority="150"/>
    <cfRule type="duplicateValues" dxfId="98" priority="163" stopIfTrue="1"/>
    <cfRule type="duplicateValues" dxfId="97" priority="164" stopIfTrue="1"/>
    <cfRule type="duplicateValues" dxfId="96" priority="165" stopIfTrue="1"/>
    <cfRule type="duplicateValues" dxfId="95" priority="166" stopIfTrue="1"/>
  </conditionalFormatting>
  <conditionalFormatting sqref="C291:C294">
    <cfRule type="duplicateValues" dxfId="94" priority="143"/>
    <cfRule type="duplicateValues" dxfId="93" priority="144"/>
    <cfRule type="duplicateValues" dxfId="92" priority="161"/>
    <cfRule type="duplicateValues" dxfId="91" priority="162"/>
  </conditionalFormatting>
  <conditionalFormatting sqref="C292:C295">
    <cfRule type="duplicateValues" dxfId="90" priority="147"/>
    <cfRule type="duplicateValues" dxfId="89" priority="148"/>
    <cfRule type="duplicateValues" dxfId="88" priority="157"/>
    <cfRule type="duplicateValues" dxfId="87" priority="158"/>
  </conditionalFormatting>
  <conditionalFormatting sqref="C293:C296">
    <cfRule type="duplicateValues" dxfId="86" priority="145"/>
    <cfRule type="duplicateValues" dxfId="85" priority="146"/>
    <cfRule type="duplicateValues" dxfId="84" priority="159"/>
    <cfRule type="duplicateValues" dxfId="83" priority="160"/>
  </conditionalFormatting>
  <conditionalFormatting sqref="C295:C298">
    <cfRule type="duplicateValues" dxfId="82" priority="138"/>
    <cfRule type="duplicateValues" dxfId="81" priority="139"/>
  </conditionalFormatting>
  <conditionalFormatting sqref="C296:C299">
    <cfRule type="duplicateValues" dxfId="80" priority="136"/>
    <cfRule type="duplicateValues" dxfId="79" priority="137"/>
  </conditionalFormatting>
  <conditionalFormatting sqref="C300:C306">
    <cfRule type="duplicateValues" dxfId="78" priority="140"/>
    <cfRule type="duplicateValues" dxfId="77" priority="141"/>
  </conditionalFormatting>
  <conditionalFormatting sqref="C329:C338">
    <cfRule type="duplicateValues" dxfId="76" priority="134"/>
    <cfRule type="duplicateValues" dxfId="75" priority="135"/>
  </conditionalFormatting>
  <conditionalFormatting sqref="C364:C369">
    <cfRule type="duplicateValues" dxfId="74" priority="130"/>
    <cfRule type="duplicateValues" dxfId="73" priority="131"/>
  </conditionalFormatting>
  <conditionalFormatting sqref="C377:C383">
    <cfRule type="duplicateValues" dxfId="72" priority="132"/>
    <cfRule type="duplicateValues" dxfId="71" priority="133"/>
  </conditionalFormatting>
  <conditionalFormatting sqref="C396:C400">
    <cfRule type="duplicateValues" dxfId="70" priority="122"/>
    <cfRule type="duplicateValues" dxfId="69" priority="123"/>
  </conditionalFormatting>
  <conditionalFormatting sqref="C396:C401">
    <cfRule type="duplicateValues" dxfId="68" priority="126"/>
    <cfRule type="duplicateValues" dxfId="67" priority="127"/>
  </conditionalFormatting>
  <conditionalFormatting sqref="C397:C403">
    <cfRule type="duplicateValues" dxfId="66" priority="124"/>
    <cfRule type="duplicateValues" dxfId="65" priority="125"/>
  </conditionalFormatting>
  <conditionalFormatting sqref="C416:C422">
    <cfRule type="duplicateValues" dxfId="64" priority="128"/>
    <cfRule type="duplicateValues" dxfId="63" priority="129"/>
  </conditionalFormatting>
  <conditionalFormatting sqref="C430:C435">
    <cfRule type="duplicateValues" dxfId="62" priority="114"/>
    <cfRule type="duplicateValues" dxfId="61" priority="115"/>
  </conditionalFormatting>
  <conditionalFormatting sqref="C432:C438">
    <cfRule type="duplicateValues" dxfId="60" priority="120"/>
    <cfRule type="duplicateValues" dxfId="59" priority="121"/>
  </conditionalFormatting>
  <conditionalFormatting sqref="C435:C440">
    <cfRule type="duplicateValues" dxfId="58" priority="118"/>
    <cfRule type="duplicateValues" dxfId="57" priority="119"/>
  </conditionalFormatting>
  <conditionalFormatting sqref="C450:C456">
    <cfRule type="duplicateValues" dxfId="56" priority="116"/>
    <cfRule type="duplicateValues" dxfId="55" priority="117"/>
  </conditionalFormatting>
  <conditionalFormatting sqref="C472:C478">
    <cfRule type="duplicateValues" dxfId="54" priority="110"/>
    <cfRule type="duplicateValues" dxfId="53" priority="111"/>
  </conditionalFormatting>
  <conditionalFormatting sqref="C499:C509">
    <cfRule type="duplicateValues" dxfId="52" priority="112"/>
    <cfRule type="duplicateValues" dxfId="51" priority="113"/>
  </conditionalFormatting>
  <conditionalFormatting sqref="C531:C539">
    <cfRule type="duplicateValues" dxfId="50" priority="108"/>
    <cfRule type="duplicateValues" dxfId="49" priority="109"/>
  </conditionalFormatting>
  <conditionalFormatting sqref="C532:C540">
    <cfRule type="duplicateValues" dxfId="48" priority="106"/>
    <cfRule type="duplicateValues" dxfId="47" priority="107"/>
  </conditionalFormatting>
  <conditionalFormatting sqref="C533:C541">
    <cfRule type="duplicateValues" dxfId="46" priority="104"/>
    <cfRule type="duplicateValues" dxfId="45" priority="105"/>
  </conditionalFormatting>
  <conditionalFormatting sqref="C535:C543">
    <cfRule type="duplicateValues" dxfId="44" priority="102"/>
    <cfRule type="duplicateValues" dxfId="43" priority="103"/>
  </conditionalFormatting>
  <conditionalFormatting sqref="C605:C614">
    <cfRule type="duplicateValues" dxfId="42" priority="98"/>
    <cfRule type="duplicateValues" dxfId="41" priority="99"/>
  </conditionalFormatting>
  <conditionalFormatting sqref="C607:C615">
    <cfRule type="duplicateValues" dxfId="40" priority="100"/>
    <cfRule type="duplicateValues" dxfId="39" priority="101"/>
  </conditionalFormatting>
  <conditionalFormatting sqref="C637:C639">
    <cfRule type="duplicateValues" dxfId="38" priority="54"/>
    <cfRule type="duplicateValues" dxfId="37" priority="55"/>
    <cfRule type="duplicateValues" dxfId="36" priority="56"/>
    <cfRule type="duplicateValues" dxfId="35" priority="58"/>
  </conditionalFormatting>
  <conditionalFormatting sqref="C640:C642">
    <cfRule type="duplicateValues" dxfId="34" priority="51"/>
  </conditionalFormatting>
  <conditionalFormatting sqref="C641:C642">
    <cfRule type="duplicateValues" dxfId="33" priority="45"/>
    <cfRule type="duplicateValues" dxfId="32" priority="46"/>
    <cfRule type="duplicateValues" dxfId="31" priority="47"/>
  </conditionalFormatting>
  <conditionalFormatting sqref="C643:C644">
    <cfRule type="duplicateValues" dxfId="30" priority="31"/>
  </conditionalFormatting>
  <conditionalFormatting sqref="C643:C646">
    <cfRule type="duplicateValues" dxfId="29" priority="43"/>
  </conditionalFormatting>
  <conditionalFormatting sqref="C644:C646">
    <cfRule type="duplicateValues" dxfId="28" priority="17"/>
    <cfRule type="duplicateValues" dxfId="27" priority="20"/>
    <cfRule type="duplicateValues" dxfId="26" priority="21"/>
  </conditionalFormatting>
  <conditionalFormatting sqref="C649:C652">
    <cfRule type="duplicateValues" dxfId="25" priority="15"/>
  </conditionalFormatting>
  <conditionalFormatting sqref="C653:C658">
    <cfRule type="duplicateValues" dxfId="24" priority="13"/>
  </conditionalFormatting>
  <conditionalFormatting sqref="C657:C658">
    <cfRule type="duplicateValues" dxfId="23" priority="7"/>
    <cfRule type="duplicateValues" dxfId="22" priority="8"/>
  </conditionalFormatting>
  <conditionalFormatting sqref="C659:C661">
    <cfRule type="duplicateValues" dxfId="21" priority="5"/>
  </conditionalFormatting>
  <conditionalFormatting sqref="D2:D3">
    <cfRule type="duplicateValues" dxfId="20" priority="288"/>
  </conditionalFormatting>
  <conditionalFormatting sqref="D4:D36">
    <cfRule type="duplicateValues" dxfId="19" priority="286"/>
  </conditionalFormatting>
  <conditionalFormatting sqref="D37:D70">
    <cfRule type="duplicateValues" dxfId="18" priority="285"/>
  </conditionalFormatting>
  <conditionalFormatting sqref="D70:D104">
    <cfRule type="duplicateValues" dxfId="17" priority="284"/>
  </conditionalFormatting>
  <conditionalFormatting sqref="D103:D134">
    <cfRule type="duplicateValues" dxfId="16" priority="283"/>
  </conditionalFormatting>
  <conditionalFormatting sqref="D133:D168">
    <cfRule type="duplicateValues" dxfId="15" priority="282"/>
  </conditionalFormatting>
  <conditionalFormatting sqref="D165:D203">
    <cfRule type="duplicateValues" dxfId="14" priority="281"/>
  </conditionalFormatting>
  <conditionalFormatting sqref="D199:D235">
    <cfRule type="duplicateValues" dxfId="13" priority="280"/>
  </conditionalFormatting>
  <conditionalFormatting sqref="D232:D264">
    <cfRule type="duplicateValues" dxfId="12" priority="279"/>
  </conditionalFormatting>
  <conditionalFormatting sqref="D261:D296">
    <cfRule type="duplicateValues" dxfId="11" priority="278"/>
  </conditionalFormatting>
  <conditionalFormatting sqref="D637:D639">
    <cfRule type="duplicateValues" dxfId="10" priority="57"/>
  </conditionalFormatting>
  <conditionalFormatting sqref="D641:D642">
    <cfRule type="duplicateValues" dxfId="9" priority="48"/>
  </conditionalFormatting>
  <conditionalFormatting sqref="D643:D644">
    <cfRule type="duplicateValues" dxfId="8" priority="42"/>
  </conditionalFormatting>
  <conditionalFormatting sqref="D644:D646">
    <cfRule type="duplicateValues" dxfId="7" priority="22"/>
  </conditionalFormatting>
  <conditionalFormatting sqref="J2:J315 J336:J347 J319:J331">
    <cfRule type="expression" dxfId="6" priority="290" stopIfTrue="1">
      <formula>AND(COUNTIF($J$2:$J$315, J2)+COUNTIF($J$336:$J$347, J2)+COUNTIF($J$319:$J$331, J2)&gt;1,NOT(ISBLANK(J2)))</formula>
    </cfRule>
  </conditionalFormatting>
  <conditionalFormatting sqref="J637:J639">
    <cfRule type="duplicateValues" dxfId="5" priority="59"/>
  </conditionalFormatting>
  <conditionalFormatting sqref="J640:J642">
    <cfRule type="duplicateValues" dxfId="4" priority="52"/>
  </conditionalFormatting>
  <conditionalFormatting sqref="J643:J646">
    <cfRule type="duplicateValues" dxfId="3" priority="44"/>
  </conditionalFormatting>
  <conditionalFormatting sqref="J649:J652">
    <cfRule type="duplicateValues" dxfId="2" priority="16"/>
  </conditionalFormatting>
  <conditionalFormatting sqref="J653:J658">
    <cfRule type="duplicateValues" dxfId="1" priority="14"/>
  </conditionalFormatting>
  <conditionalFormatting sqref="J659:J661">
    <cfRule type="duplicateValues" dxfId="0" priority="6"/>
  </conditionalFormatting>
  <dataValidations disablePrompts="1" count="1">
    <dataValidation type="list" allowBlank="1" showInputMessage="1" showErrorMessage="1" sqref="E630:E646 JA630:JA646 SW630:SW646 ACS630:ACS646 AMO630:AMO646 AWK630:AWK646 BGG630:BGG646 BQC630:BQC646 BZY630:BZY646 CJU630:CJU646 CTQ630:CTQ646 DDM630:DDM646 DNI630:DNI646 DXE630:DXE646 EHA630:EHA646 EQW630:EQW646 FAS630:FAS646 FKO630:FKO646 FUK630:FUK646 GEG630:GEG646 GOC630:GOC646 GXY630:GXY646 HHU630:HHU646 HRQ630:HRQ646 IBM630:IBM646 ILI630:ILI646 IVE630:IVE646 JFA630:JFA646 JOW630:JOW646 JYS630:JYS646 KIO630:KIO646 KSK630:KSK646 LCG630:LCG646 LMC630:LMC646 LVY630:LVY646 MFU630:MFU646 MPQ630:MPQ646 MZM630:MZM646 NJI630:NJI646 NTE630:NTE646 ODA630:ODA646 OMW630:OMW646 OWS630:OWS646 PGO630:PGO646 PQK630:PQK646 QAG630:QAG646 QKC630:QKC646 QTY630:QTY646 RDU630:RDU646 RNQ630:RNQ646 RXM630:RXM646 SHI630:SHI646 SRE630:SRE646 TBA630:TBA646 TKW630:TKW646 TUS630:TUS646 UEO630:UEO646 UOK630:UOK646 UYG630:UYG646 VIC630:VIC646 VRY630:VRY646 WBU630:WBU646 WLQ630:WLQ646 WVM630:WVM646 E66166:E66182 JA66166:JA66182 SW66166:SW66182 ACS66166:ACS66182 AMO66166:AMO66182 AWK66166:AWK66182 BGG66166:BGG66182 BQC66166:BQC66182 BZY66166:BZY66182 CJU66166:CJU66182 CTQ66166:CTQ66182 DDM66166:DDM66182 DNI66166:DNI66182 DXE66166:DXE66182 EHA66166:EHA66182 EQW66166:EQW66182 FAS66166:FAS66182 FKO66166:FKO66182 FUK66166:FUK66182 GEG66166:GEG66182 GOC66166:GOC66182 GXY66166:GXY66182 HHU66166:HHU66182 HRQ66166:HRQ66182 IBM66166:IBM66182 ILI66166:ILI66182 IVE66166:IVE66182 JFA66166:JFA66182 JOW66166:JOW66182 JYS66166:JYS66182 KIO66166:KIO66182 KSK66166:KSK66182 LCG66166:LCG66182 LMC66166:LMC66182 LVY66166:LVY66182 MFU66166:MFU66182 MPQ66166:MPQ66182 MZM66166:MZM66182 NJI66166:NJI66182 NTE66166:NTE66182 ODA66166:ODA66182 OMW66166:OMW66182 OWS66166:OWS66182 PGO66166:PGO66182 PQK66166:PQK66182 QAG66166:QAG66182 QKC66166:QKC66182 QTY66166:QTY66182 RDU66166:RDU66182 RNQ66166:RNQ66182 RXM66166:RXM66182 SHI66166:SHI66182 SRE66166:SRE66182 TBA66166:TBA66182 TKW66166:TKW66182 TUS66166:TUS66182 UEO66166:UEO66182 UOK66166:UOK66182 UYG66166:UYG66182 VIC66166:VIC66182 VRY66166:VRY66182 WBU66166:WBU66182 WLQ66166:WLQ66182 WVM66166:WVM66182 E131702:E131718 JA131702:JA131718 SW131702:SW131718 ACS131702:ACS131718 AMO131702:AMO131718 AWK131702:AWK131718 BGG131702:BGG131718 BQC131702:BQC131718 BZY131702:BZY131718 CJU131702:CJU131718 CTQ131702:CTQ131718 DDM131702:DDM131718 DNI131702:DNI131718 DXE131702:DXE131718 EHA131702:EHA131718 EQW131702:EQW131718 FAS131702:FAS131718 FKO131702:FKO131718 FUK131702:FUK131718 GEG131702:GEG131718 GOC131702:GOC131718 GXY131702:GXY131718 HHU131702:HHU131718 HRQ131702:HRQ131718 IBM131702:IBM131718 ILI131702:ILI131718 IVE131702:IVE131718 JFA131702:JFA131718 JOW131702:JOW131718 JYS131702:JYS131718 KIO131702:KIO131718 KSK131702:KSK131718 LCG131702:LCG131718 LMC131702:LMC131718 LVY131702:LVY131718 MFU131702:MFU131718 MPQ131702:MPQ131718 MZM131702:MZM131718 NJI131702:NJI131718 NTE131702:NTE131718 ODA131702:ODA131718 OMW131702:OMW131718 OWS131702:OWS131718 PGO131702:PGO131718 PQK131702:PQK131718 QAG131702:QAG131718 QKC131702:QKC131718 QTY131702:QTY131718 RDU131702:RDU131718 RNQ131702:RNQ131718 RXM131702:RXM131718 SHI131702:SHI131718 SRE131702:SRE131718 TBA131702:TBA131718 TKW131702:TKW131718 TUS131702:TUS131718 UEO131702:UEO131718 UOK131702:UOK131718 UYG131702:UYG131718 VIC131702:VIC131718 VRY131702:VRY131718 WBU131702:WBU131718 WLQ131702:WLQ131718 WVM131702:WVM131718 E197238:E197254 JA197238:JA197254 SW197238:SW197254 ACS197238:ACS197254 AMO197238:AMO197254 AWK197238:AWK197254 BGG197238:BGG197254 BQC197238:BQC197254 BZY197238:BZY197254 CJU197238:CJU197254 CTQ197238:CTQ197254 DDM197238:DDM197254 DNI197238:DNI197254 DXE197238:DXE197254 EHA197238:EHA197254 EQW197238:EQW197254 FAS197238:FAS197254 FKO197238:FKO197254 FUK197238:FUK197254 GEG197238:GEG197254 GOC197238:GOC197254 GXY197238:GXY197254 HHU197238:HHU197254 HRQ197238:HRQ197254 IBM197238:IBM197254 ILI197238:ILI197254 IVE197238:IVE197254 JFA197238:JFA197254 JOW197238:JOW197254 JYS197238:JYS197254 KIO197238:KIO197254 KSK197238:KSK197254 LCG197238:LCG197254 LMC197238:LMC197254 LVY197238:LVY197254 MFU197238:MFU197254 MPQ197238:MPQ197254 MZM197238:MZM197254 NJI197238:NJI197254 NTE197238:NTE197254 ODA197238:ODA197254 OMW197238:OMW197254 OWS197238:OWS197254 PGO197238:PGO197254 PQK197238:PQK197254 QAG197238:QAG197254 QKC197238:QKC197254 QTY197238:QTY197254 RDU197238:RDU197254 RNQ197238:RNQ197254 RXM197238:RXM197254 SHI197238:SHI197254 SRE197238:SRE197254 TBA197238:TBA197254 TKW197238:TKW197254 TUS197238:TUS197254 UEO197238:UEO197254 UOK197238:UOK197254 UYG197238:UYG197254 VIC197238:VIC197254 VRY197238:VRY197254 WBU197238:WBU197254 WLQ197238:WLQ197254 WVM197238:WVM197254 E262774:E262790 JA262774:JA262790 SW262774:SW262790 ACS262774:ACS262790 AMO262774:AMO262790 AWK262774:AWK262790 BGG262774:BGG262790 BQC262774:BQC262790 BZY262774:BZY262790 CJU262774:CJU262790 CTQ262774:CTQ262790 DDM262774:DDM262790 DNI262774:DNI262790 DXE262774:DXE262790 EHA262774:EHA262790 EQW262774:EQW262790 FAS262774:FAS262790 FKO262774:FKO262790 FUK262774:FUK262790 GEG262774:GEG262790 GOC262774:GOC262790 GXY262774:GXY262790 HHU262774:HHU262790 HRQ262774:HRQ262790 IBM262774:IBM262790 ILI262774:ILI262790 IVE262774:IVE262790 JFA262774:JFA262790 JOW262774:JOW262790 JYS262774:JYS262790 KIO262774:KIO262790 KSK262774:KSK262790 LCG262774:LCG262790 LMC262774:LMC262790 LVY262774:LVY262790 MFU262774:MFU262790 MPQ262774:MPQ262790 MZM262774:MZM262790 NJI262774:NJI262790 NTE262774:NTE262790 ODA262774:ODA262790 OMW262774:OMW262790 OWS262774:OWS262790 PGO262774:PGO262790 PQK262774:PQK262790 QAG262774:QAG262790 QKC262774:QKC262790 QTY262774:QTY262790 RDU262774:RDU262790 RNQ262774:RNQ262790 RXM262774:RXM262790 SHI262774:SHI262790 SRE262774:SRE262790 TBA262774:TBA262790 TKW262774:TKW262790 TUS262774:TUS262790 UEO262774:UEO262790 UOK262774:UOK262790 UYG262774:UYG262790 VIC262774:VIC262790 VRY262774:VRY262790 WBU262774:WBU262790 WLQ262774:WLQ262790 WVM262774:WVM262790 E328310:E328326 JA328310:JA328326 SW328310:SW328326 ACS328310:ACS328326 AMO328310:AMO328326 AWK328310:AWK328326 BGG328310:BGG328326 BQC328310:BQC328326 BZY328310:BZY328326 CJU328310:CJU328326 CTQ328310:CTQ328326 DDM328310:DDM328326 DNI328310:DNI328326 DXE328310:DXE328326 EHA328310:EHA328326 EQW328310:EQW328326 FAS328310:FAS328326 FKO328310:FKO328326 FUK328310:FUK328326 GEG328310:GEG328326 GOC328310:GOC328326 GXY328310:GXY328326 HHU328310:HHU328326 HRQ328310:HRQ328326 IBM328310:IBM328326 ILI328310:ILI328326 IVE328310:IVE328326 JFA328310:JFA328326 JOW328310:JOW328326 JYS328310:JYS328326 KIO328310:KIO328326 KSK328310:KSK328326 LCG328310:LCG328326 LMC328310:LMC328326 LVY328310:LVY328326 MFU328310:MFU328326 MPQ328310:MPQ328326 MZM328310:MZM328326 NJI328310:NJI328326 NTE328310:NTE328326 ODA328310:ODA328326 OMW328310:OMW328326 OWS328310:OWS328326 PGO328310:PGO328326 PQK328310:PQK328326 QAG328310:QAG328326 QKC328310:QKC328326 QTY328310:QTY328326 RDU328310:RDU328326 RNQ328310:RNQ328326 RXM328310:RXM328326 SHI328310:SHI328326 SRE328310:SRE328326 TBA328310:TBA328326 TKW328310:TKW328326 TUS328310:TUS328326 UEO328310:UEO328326 UOK328310:UOK328326 UYG328310:UYG328326 VIC328310:VIC328326 VRY328310:VRY328326 WBU328310:WBU328326 WLQ328310:WLQ328326 WVM328310:WVM328326 E393846:E393862 JA393846:JA393862 SW393846:SW393862 ACS393846:ACS393862 AMO393846:AMO393862 AWK393846:AWK393862 BGG393846:BGG393862 BQC393846:BQC393862 BZY393846:BZY393862 CJU393846:CJU393862 CTQ393846:CTQ393862 DDM393846:DDM393862 DNI393846:DNI393862 DXE393846:DXE393862 EHA393846:EHA393862 EQW393846:EQW393862 FAS393846:FAS393862 FKO393846:FKO393862 FUK393846:FUK393862 GEG393846:GEG393862 GOC393846:GOC393862 GXY393846:GXY393862 HHU393846:HHU393862 HRQ393846:HRQ393862 IBM393846:IBM393862 ILI393846:ILI393862 IVE393846:IVE393862 JFA393846:JFA393862 JOW393846:JOW393862 JYS393846:JYS393862 KIO393846:KIO393862 KSK393846:KSK393862 LCG393846:LCG393862 LMC393846:LMC393862 LVY393846:LVY393862 MFU393846:MFU393862 MPQ393846:MPQ393862 MZM393846:MZM393862 NJI393846:NJI393862 NTE393846:NTE393862 ODA393846:ODA393862 OMW393846:OMW393862 OWS393846:OWS393862 PGO393846:PGO393862 PQK393846:PQK393862 QAG393846:QAG393862 QKC393846:QKC393862 QTY393846:QTY393862 RDU393846:RDU393862 RNQ393846:RNQ393862 RXM393846:RXM393862 SHI393846:SHI393862 SRE393846:SRE393862 TBA393846:TBA393862 TKW393846:TKW393862 TUS393846:TUS393862 UEO393846:UEO393862 UOK393846:UOK393862 UYG393846:UYG393862 VIC393846:VIC393862 VRY393846:VRY393862 WBU393846:WBU393862 WLQ393846:WLQ393862 WVM393846:WVM393862 E459382:E459398 JA459382:JA459398 SW459382:SW459398 ACS459382:ACS459398 AMO459382:AMO459398 AWK459382:AWK459398 BGG459382:BGG459398 BQC459382:BQC459398 BZY459382:BZY459398 CJU459382:CJU459398 CTQ459382:CTQ459398 DDM459382:DDM459398 DNI459382:DNI459398 DXE459382:DXE459398 EHA459382:EHA459398 EQW459382:EQW459398 FAS459382:FAS459398 FKO459382:FKO459398 FUK459382:FUK459398 GEG459382:GEG459398 GOC459382:GOC459398 GXY459382:GXY459398 HHU459382:HHU459398 HRQ459382:HRQ459398 IBM459382:IBM459398 ILI459382:ILI459398 IVE459382:IVE459398 JFA459382:JFA459398 JOW459382:JOW459398 JYS459382:JYS459398 KIO459382:KIO459398 KSK459382:KSK459398 LCG459382:LCG459398 LMC459382:LMC459398 LVY459382:LVY459398 MFU459382:MFU459398 MPQ459382:MPQ459398 MZM459382:MZM459398 NJI459382:NJI459398 NTE459382:NTE459398 ODA459382:ODA459398 OMW459382:OMW459398 OWS459382:OWS459398 PGO459382:PGO459398 PQK459382:PQK459398 QAG459382:QAG459398 QKC459382:QKC459398 QTY459382:QTY459398 RDU459382:RDU459398 RNQ459382:RNQ459398 RXM459382:RXM459398 SHI459382:SHI459398 SRE459382:SRE459398 TBA459382:TBA459398 TKW459382:TKW459398 TUS459382:TUS459398 UEO459382:UEO459398 UOK459382:UOK459398 UYG459382:UYG459398 VIC459382:VIC459398 VRY459382:VRY459398 WBU459382:WBU459398 WLQ459382:WLQ459398 WVM459382:WVM459398 E524918:E524934 JA524918:JA524934 SW524918:SW524934 ACS524918:ACS524934 AMO524918:AMO524934 AWK524918:AWK524934 BGG524918:BGG524934 BQC524918:BQC524934 BZY524918:BZY524934 CJU524918:CJU524934 CTQ524918:CTQ524934 DDM524918:DDM524934 DNI524918:DNI524934 DXE524918:DXE524934 EHA524918:EHA524934 EQW524918:EQW524934 FAS524918:FAS524934 FKO524918:FKO524934 FUK524918:FUK524934 GEG524918:GEG524934 GOC524918:GOC524934 GXY524918:GXY524934 HHU524918:HHU524934 HRQ524918:HRQ524934 IBM524918:IBM524934 ILI524918:ILI524934 IVE524918:IVE524934 JFA524918:JFA524934 JOW524918:JOW524934 JYS524918:JYS524934 KIO524918:KIO524934 KSK524918:KSK524934 LCG524918:LCG524934 LMC524918:LMC524934 LVY524918:LVY524934 MFU524918:MFU524934 MPQ524918:MPQ524934 MZM524918:MZM524934 NJI524918:NJI524934 NTE524918:NTE524934 ODA524918:ODA524934 OMW524918:OMW524934 OWS524918:OWS524934 PGO524918:PGO524934 PQK524918:PQK524934 QAG524918:QAG524934 QKC524918:QKC524934 QTY524918:QTY524934 RDU524918:RDU524934 RNQ524918:RNQ524934 RXM524918:RXM524934 SHI524918:SHI524934 SRE524918:SRE524934 TBA524918:TBA524934 TKW524918:TKW524934 TUS524918:TUS524934 UEO524918:UEO524934 UOK524918:UOK524934 UYG524918:UYG524934 VIC524918:VIC524934 VRY524918:VRY524934 WBU524918:WBU524934 WLQ524918:WLQ524934 WVM524918:WVM524934 E590454:E590470 JA590454:JA590470 SW590454:SW590470 ACS590454:ACS590470 AMO590454:AMO590470 AWK590454:AWK590470 BGG590454:BGG590470 BQC590454:BQC590470 BZY590454:BZY590470 CJU590454:CJU590470 CTQ590454:CTQ590470 DDM590454:DDM590470 DNI590454:DNI590470 DXE590454:DXE590470 EHA590454:EHA590470 EQW590454:EQW590470 FAS590454:FAS590470 FKO590454:FKO590470 FUK590454:FUK590470 GEG590454:GEG590470 GOC590454:GOC590470 GXY590454:GXY590470 HHU590454:HHU590470 HRQ590454:HRQ590470 IBM590454:IBM590470 ILI590454:ILI590470 IVE590454:IVE590470 JFA590454:JFA590470 JOW590454:JOW590470 JYS590454:JYS590470 KIO590454:KIO590470 KSK590454:KSK590470 LCG590454:LCG590470 LMC590454:LMC590470 LVY590454:LVY590470 MFU590454:MFU590470 MPQ590454:MPQ590470 MZM590454:MZM590470 NJI590454:NJI590470 NTE590454:NTE590470 ODA590454:ODA590470 OMW590454:OMW590470 OWS590454:OWS590470 PGO590454:PGO590470 PQK590454:PQK590470 QAG590454:QAG590470 QKC590454:QKC590470 QTY590454:QTY590470 RDU590454:RDU590470 RNQ590454:RNQ590470 RXM590454:RXM590470 SHI590454:SHI590470 SRE590454:SRE590470 TBA590454:TBA590470 TKW590454:TKW590470 TUS590454:TUS590470 UEO590454:UEO590470 UOK590454:UOK590470 UYG590454:UYG590470 VIC590454:VIC590470 VRY590454:VRY590470 WBU590454:WBU590470 WLQ590454:WLQ590470 WVM590454:WVM590470 E655990:E656006 JA655990:JA656006 SW655990:SW656006 ACS655990:ACS656006 AMO655990:AMO656006 AWK655990:AWK656006 BGG655990:BGG656006 BQC655990:BQC656006 BZY655990:BZY656006 CJU655990:CJU656006 CTQ655990:CTQ656006 DDM655990:DDM656006 DNI655990:DNI656006 DXE655990:DXE656006 EHA655990:EHA656006 EQW655990:EQW656006 FAS655990:FAS656006 FKO655990:FKO656006 FUK655990:FUK656006 GEG655990:GEG656006 GOC655990:GOC656006 GXY655990:GXY656006 HHU655990:HHU656006 HRQ655990:HRQ656006 IBM655990:IBM656006 ILI655990:ILI656006 IVE655990:IVE656006 JFA655990:JFA656006 JOW655990:JOW656006 JYS655990:JYS656006 KIO655990:KIO656006 KSK655990:KSK656006 LCG655990:LCG656006 LMC655990:LMC656006 LVY655990:LVY656006 MFU655990:MFU656006 MPQ655990:MPQ656006 MZM655990:MZM656006 NJI655990:NJI656006 NTE655990:NTE656006 ODA655990:ODA656006 OMW655990:OMW656006 OWS655990:OWS656006 PGO655990:PGO656006 PQK655990:PQK656006 QAG655990:QAG656006 QKC655990:QKC656006 QTY655990:QTY656006 RDU655990:RDU656006 RNQ655990:RNQ656006 RXM655990:RXM656006 SHI655990:SHI656006 SRE655990:SRE656006 TBA655990:TBA656006 TKW655990:TKW656006 TUS655990:TUS656006 UEO655990:UEO656006 UOK655990:UOK656006 UYG655990:UYG656006 VIC655990:VIC656006 VRY655990:VRY656006 WBU655990:WBU656006 WLQ655990:WLQ656006 WVM655990:WVM656006 E721526:E721542 JA721526:JA721542 SW721526:SW721542 ACS721526:ACS721542 AMO721526:AMO721542 AWK721526:AWK721542 BGG721526:BGG721542 BQC721526:BQC721542 BZY721526:BZY721542 CJU721526:CJU721542 CTQ721526:CTQ721542 DDM721526:DDM721542 DNI721526:DNI721542 DXE721526:DXE721542 EHA721526:EHA721542 EQW721526:EQW721542 FAS721526:FAS721542 FKO721526:FKO721542 FUK721526:FUK721542 GEG721526:GEG721542 GOC721526:GOC721542 GXY721526:GXY721542 HHU721526:HHU721542 HRQ721526:HRQ721542 IBM721526:IBM721542 ILI721526:ILI721542 IVE721526:IVE721542 JFA721526:JFA721542 JOW721526:JOW721542 JYS721526:JYS721542 KIO721526:KIO721542 KSK721526:KSK721542 LCG721526:LCG721542 LMC721526:LMC721542 LVY721526:LVY721542 MFU721526:MFU721542 MPQ721526:MPQ721542 MZM721526:MZM721542 NJI721526:NJI721542 NTE721526:NTE721542 ODA721526:ODA721542 OMW721526:OMW721542 OWS721526:OWS721542 PGO721526:PGO721542 PQK721526:PQK721542 QAG721526:QAG721542 QKC721526:QKC721542 QTY721526:QTY721542 RDU721526:RDU721542 RNQ721526:RNQ721542 RXM721526:RXM721542 SHI721526:SHI721542 SRE721526:SRE721542 TBA721526:TBA721542 TKW721526:TKW721542 TUS721526:TUS721542 UEO721526:UEO721542 UOK721526:UOK721542 UYG721526:UYG721542 VIC721526:VIC721542 VRY721526:VRY721542 WBU721526:WBU721542 WLQ721526:WLQ721542 WVM721526:WVM721542 E787062:E787078 JA787062:JA787078 SW787062:SW787078 ACS787062:ACS787078 AMO787062:AMO787078 AWK787062:AWK787078 BGG787062:BGG787078 BQC787062:BQC787078 BZY787062:BZY787078 CJU787062:CJU787078 CTQ787062:CTQ787078 DDM787062:DDM787078 DNI787062:DNI787078 DXE787062:DXE787078 EHA787062:EHA787078 EQW787062:EQW787078 FAS787062:FAS787078 FKO787062:FKO787078 FUK787062:FUK787078 GEG787062:GEG787078 GOC787062:GOC787078 GXY787062:GXY787078 HHU787062:HHU787078 HRQ787062:HRQ787078 IBM787062:IBM787078 ILI787062:ILI787078 IVE787062:IVE787078 JFA787062:JFA787078 JOW787062:JOW787078 JYS787062:JYS787078 KIO787062:KIO787078 KSK787062:KSK787078 LCG787062:LCG787078 LMC787062:LMC787078 LVY787062:LVY787078 MFU787062:MFU787078 MPQ787062:MPQ787078 MZM787062:MZM787078 NJI787062:NJI787078 NTE787062:NTE787078 ODA787062:ODA787078 OMW787062:OMW787078 OWS787062:OWS787078 PGO787062:PGO787078 PQK787062:PQK787078 QAG787062:QAG787078 QKC787062:QKC787078 QTY787062:QTY787078 RDU787062:RDU787078 RNQ787062:RNQ787078 RXM787062:RXM787078 SHI787062:SHI787078 SRE787062:SRE787078 TBA787062:TBA787078 TKW787062:TKW787078 TUS787062:TUS787078 UEO787062:UEO787078 UOK787062:UOK787078 UYG787062:UYG787078 VIC787062:VIC787078 VRY787062:VRY787078 WBU787062:WBU787078 WLQ787062:WLQ787078 WVM787062:WVM787078 E852598:E852614 JA852598:JA852614 SW852598:SW852614 ACS852598:ACS852614 AMO852598:AMO852614 AWK852598:AWK852614 BGG852598:BGG852614 BQC852598:BQC852614 BZY852598:BZY852614 CJU852598:CJU852614 CTQ852598:CTQ852614 DDM852598:DDM852614 DNI852598:DNI852614 DXE852598:DXE852614 EHA852598:EHA852614 EQW852598:EQW852614 FAS852598:FAS852614 FKO852598:FKO852614 FUK852598:FUK852614 GEG852598:GEG852614 GOC852598:GOC852614 GXY852598:GXY852614 HHU852598:HHU852614 HRQ852598:HRQ852614 IBM852598:IBM852614 ILI852598:ILI852614 IVE852598:IVE852614 JFA852598:JFA852614 JOW852598:JOW852614 JYS852598:JYS852614 KIO852598:KIO852614 KSK852598:KSK852614 LCG852598:LCG852614 LMC852598:LMC852614 LVY852598:LVY852614 MFU852598:MFU852614 MPQ852598:MPQ852614 MZM852598:MZM852614 NJI852598:NJI852614 NTE852598:NTE852614 ODA852598:ODA852614 OMW852598:OMW852614 OWS852598:OWS852614 PGO852598:PGO852614 PQK852598:PQK852614 QAG852598:QAG852614 QKC852598:QKC852614 QTY852598:QTY852614 RDU852598:RDU852614 RNQ852598:RNQ852614 RXM852598:RXM852614 SHI852598:SHI852614 SRE852598:SRE852614 TBA852598:TBA852614 TKW852598:TKW852614 TUS852598:TUS852614 UEO852598:UEO852614 UOK852598:UOK852614 UYG852598:UYG852614 VIC852598:VIC852614 VRY852598:VRY852614 WBU852598:WBU852614 WLQ852598:WLQ852614 WVM852598:WVM852614 E918134:E918150 JA918134:JA918150 SW918134:SW918150 ACS918134:ACS918150 AMO918134:AMO918150 AWK918134:AWK918150 BGG918134:BGG918150 BQC918134:BQC918150 BZY918134:BZY918150 CJU918134:CJU918150 CTQ918134:CTQ918150 DDM918134:DDM918150 DNI918134:DNI918150 DXE918134:DXE918150 EHA918134:EHA918150 EQW918134:EQW918150 FAS918134:FAS918150 FKO918134:FKO918150 FUK918134:FUK918150 GEG918134:GEG918150 GOC918134:GOC918150 GXY918134:GXY918150 HHU918134:HHU918150 HRQ918134:HRQ918150 IBM918134:IBM918150 ILI918134:ILI918150 IVE918134:IVE918150 JFA918134:JFA918150 JOW918134:JOW918150 JYS918134:JYS918150 KIO918134:KIO918150 KSK918134:KSK918150 LCG918134:LCG918150 LMC918134:LMC918150 LVY918134:LVY918150 MFU918134:MFU918150 MPQ918134:MPQ918150 MZM918134:MZM918150 NJI918134:NJI918150 NTE918134:NTE918150 ODA918134:ODA918150 OMW918134:OMW918150 OWS918134:OWS918150 PGO918134:PGO918150 PQK918134:PQK918150 QAG918134:QAG918150 QKC918134:QKC918150 QTY918134:QTY918150 RDU918134:RDU918150 RNQ918134:RNQ918150 RXM918134:RXM918150 SHI918134:SHI918150 SRE918134:SRE918150 TBA918134:TBA918150 TKW918134:TKW918150 TUS918134:TUS918150 UEO918134:UEO918150 UOK918134:UOK918150 UYG918134:UYG918150 VIC918134:VIC918150 VRY918134:VRY918150 WBU918134:WBU918150 WLQ918134:WLQ918150 WVM918134:WVM918150 E983670:E983686 JA983670:JA983686 SW983670:SW983686 ACS983670:ACS983686 AMO983670:AMO983686 AWK983670:AWK983686 BGG983670:BGG983686 BQC983670:BQC983686 BZY983670:BZY983686 CJU983670:CJU983686 CTQ983670:CTQ983686 DDM983670:DDM983686 DNI983670:DNI983686 DXE983670:DXE983686 EHA983670:EHA983686 EQW983670:EQW983686 FAS983670:FAS983686 FKO983670:FKO983686 FUK983670:FUK983686 GEG983670:GEG983686 GOC983670:GOC983686 GXY983670:GXY983686 HHU983670:HHU983686 HRQ983670:HRQ983686 IBM983670:IBM983686 ILI983670:ILI983686 IVE983670:IVE983686 JFA983670:JFA983686 JOW983670:JOW983686 JYS983670:JYS983686 KIO983670:KIO983686 KSK983670:KSK983686 LCG983670:LCG983686 LMC983670:LMC983686 LVY983670:LVY983686 MFU983670:MFU983686 MPQ983670:MPQ983686 MZM983670:MZM983686 NJI983670:NJI983686 NTE983670:NTE983686 ODA983670:ODA983686 OMW983670:OMW983686 OWS983670:OWS983686 PGO983670:PGO983686 PQK983670:PQK983686 QAG983670:QAG983686 QKC983670:QKC983686 QTY983670:QTY983686 RDU983670:RDU983686 RNQ983670:RNQ983686 RXM983670:RXM983686 SHI983670:SHI983686 SRE983670:SRE983686 TBA983670:TBA983686 TKW983670:TKW983686 TUS983670:TUS983686 UEO983670:UEO983686 UOK983670:UOK983686 UYG983670:UYG983686 VIC983670:VIC983686 VRY983670:VRY983686 WBU983670:WBU983686 WLQ983670:WLQ983686 WVM983670:WVM983686 E649:E661 JA649:JA661 SW649:SW661 ACS649:ACS661 AMO649:AMO661 AWK649:AWK661 BGG649:BGG661 BQC649:BQC661 BZY649:BZY661 CJU649:CJU661 CTQ649:CTQ661 DDM649:DDM661 DNI649:DNI661 DXE649:DXE661 EHA649:EHA661 EQW649:EQW661 FAS649:FAS661 FKO649:FKO661 FUK649:FUK661 GEG649:GEG661 GOC649:GOC661 GXY649:GXY661 HHU649:HHU661 HRQ649:HRQ661 IBM649:IBM661 ILI649:ILI661 IVE649:IVE661 JFA649:JFA661 JOW649:JOW661 JYS649:JYS661 KIO649:KIO661 KSK649:KSK661 LCG649:LCG661 LMC649:LMC661 LVY649:LVY661 MFU649:MFU661 MPQ649:MPQ661 MZM649:MZM661 NJI649:NJI661 NTE649:NTE661 ODA649:ODA661 OMW649:OMW661 OWS649:OWS661 PGO649:PGO661 PQK649:PQK661 QAG649:QAG661 QKC649:QKC661 QTY649:QTY661 RDU649:RDU661 RNQ649:RNQ661 RXM649:RXM661 SHI649:SHI661 SRE649:SRE661 TBA649:TBA661 TKW649:TKW661 TUS649:TUS661 UEO649:UEO661 UOK649:UOK661 UYG649:UYG661 VIC649:VIC661 VRY649:VRY661 WBU649:WBU661 WLQ649:WLQ661 WVM649:WVM661 E66185:E66197 JA66185:JA66197 SW66185:SW66197 ACS66185:ACS66197 AMO66185:AMO66197 AWK66185:AWK66197 BGG66185:BGG66197 BQC66185:BQC66197 BZY66185:BZY66197 CJU66185:CJU66197 CTQ66185:CTQ66197 DDM66185:DDM66197 DNI66185:DNI66197 DXE66185:DXE66197 EHA66185:EHA66197 EQW66185:EQW66197 FAS66185:FAS66197 FKO66185:FKO66197 FUK66185:FUK66197 GEG66185:GEG66197 GOC66185:GOC66197 GXY66185:GXY66197 HHU66185:HHU66197 HRQ66185:HRQ66197 IBM66185:IBM66197 ILI66185:ILI66197 IVE66185:IVE66197 JFA66185:JFA66197 JOW66185:JOW66197 JYS66185:JYS66197 KIO66185:KIO66197 KSK66185:KSK66197 LCG66185:LCG66197 LMC66185:LMC66197 LVY66185:LVY66197 MFU66185:MFU66197 MPQ66185:MPQ66197 MZM66185:MZM66197 NJI66185:NJI66197 NTE66185:NTE66197 ODA66185:ODA66197 OMW66185:OMW66197 OWS66185:OWS66197 PGO66185:PGO66197 PQK66185:PQK66197 QAG66185:QAG66197 QKC66185:QKC66197 QTY66185:QTY66197 RDU66185:RDU66197 RNQ66185:RNQ66197 RXM66185:RXM66197 SHI66185:SHI66197 SRE66185:SRE66197 TBA66185:TBA66197 TKW66185:TKW66197 TUS66185:TUS66197 UEO66185:UEO66197 UOK66185:UOK66197 UYG66185:UYG66197 VIC66185:VIC66197 VRY66185:VRY66197 WBU66185:WBU66197 WLQ66185:WLQ66197 WVM66185:WVM66197 E131721:E131733 JA131721:JA131733 SW131721:SW131733 ACS131721:ACS131733 AMO131721:AMO131733 AWK131721:AWK131733 BGG131721:BGG131733 BQC131721:BQC131733 BZY131721:BZY131733 CJU131721:CJU131733 CTQ131721:CTQ131733 DDM131721:DDM131733 DNI131721:DNI131733 DXE131721:DXE131733 EHA131721:EHA131733 EQW131721:EQW131733 FAS131721:FAS131733 FKO131721:FKO131733 FUK131721:FUK131733 GEG131721:GEG131733 GOC131721:GOC131733 GXY131721:GXY131733 HHU131721:HHU131733 HRQ131721:HRQ131733 IBM131721:IBM131733 ILI131721:ILI131733 IVE131721:IVE131733 JFA131721:JFA131733 JOW131721:JOW131733 JYS131721:JYS131733 KIO131721:KIO131733 KSK131721:KSK131733 LCG131721:LCG131733 LMC131721:LMC131733 LVY131721:LVY131733 MFU131721:MFU131733 MPQ131721:MPQ131733 MZM131721:MZM131733 NJI131721:NJI131733 NTE131721:NTE131733 ODA131721:ODA131733 OMW131721:OMW131733 OWS131721:OWS131733 PGO131721:PGO131733 PQK131721:PQK131733 QAG131721:QAG131733 QKC131721:QKC131733 QTY131721:QTY131733 RDU131721:RDU131733 RNQ131721:RNQ131733 RXM131721:RXM131733 SHI131721:SHI131733 SRE131721:SRE131733 TBA131721:TBA131733 TKW131721:TKW131733 TUS131721:TUS131733 UEO131721:UEO131733 UOK131721:UOK131733 UYG131721:UYG131733 VIC131721:VIC131733 VRY131721:VRY131733 WBU131721:WBU131733 WLQ131721:WLQ131733 WVM131721:WVM131733 E197257:E197269 JA197257:JA197269 SW197257:SW197269 ACS197257:ACS197269 AMO197257:AMO197269 AWK197257:AWK197269 BGG197257:BGG197269 BQC197257:BQC197269 BZY197257:BZY197269 CJU197257:CJU197269 CTQ197257:CTQ197269 DDM197257:DDM197269 DNI197257:DNI197269 DXE197257:DXE197269 EHA197257:EHA197269 EQW197257:EQW197269 FAS197257:FAS197269 FKO197257:FKO197269 FUK197257:FUK197269 GEG197257:GEG197269 GOC197257:GOC197269 GXY197257:GXY197269 HHU197257:HHU197269 HRQ197257:HRQ197269 IBM197257:IBM197269 ILI197257:ILI197269 IVE197257:IVE197269 JFA197257:JFA197269 JOW197257:JOW197269 JYS197257:JYS197269 KIO197257:KIO197269 KSK197257:KSK197269 LCG197257:LCG197269 LMC197257:LMC197269 LVY197257:LVY197269 MFU197257:MFU197269 MPQ197257:MPQ197269 MZM197257:MZM197269 NJI197257:NJI197269 NTE197257:NTE197269 ODA197257:ODA197269 OMW197257:OMW197269 OWS197257:OWS197269 PGO197257:PGO197269 PQK197257:PQK197269 QAG197257:QAG197269 QKC197257:QKC197269 QTY197257:QTY197269 RDU197257:RDU197269 RNQ197257:RNQ197269 RXM197257:RXM197269 SHI197257:SHI197269 SRE197257:SRE197269 TBA197257:TBA197269 TKW197257:TKW197269 TUS197257:TUS197269 UEO197257:UEO197269 UOK197257:UOK197269 UYG197257:UYG197269 VIC197257:VIC197269 VRY197257:VRY197269 WBU197257:WBU197269 WLQ197257:WLQ197269 WVM197257:WVM197269 E262793:E262805 JA262793:JA262805 SW262793:SW262805 ACS262793:ACS262805 AMO262793:AMO262805 AWK262793:AWK262805 BGG262793:BGG262805 BQC262793:BQC262805 BZY262793:BZY262805 CJU262793:CJU262805 CTQ262793:CTQ262805 DDM262793:DDM262805 DNI262793:DNI262805 DXE262793:DXE262805 EHA262793:EHA262805 EQW262793:EQW262805 FAS262793:FAS262805 FKO262793:FKO262805 FUK262793:FUK262805 GEG262793:GEG262805 GOC262793:GOC262805 GXY262793:GXY262805 HHU262793:HHU262805 HRQ262793:HRQ262805 IBM262793:IBM262805 ILI262793:ILI262805 IVE262793:IVE262805 JFA262793:JFA262805 JOW262793:JOW262805 JYS262793:JYS262805 KIO262793:KIO262805 KSK262793:KSK262805 LCG262793:LCG262805 LMC262793:LMC262805 LVY262793:LVY262805 MFU262793:MFU262805 MPQ262793:MPQ262805 MZM262793:MZM262805 NJI262793:NJI262805 NTE262793:NTE262805 ODA262793:ODA262805 OMW262793:OMW262805 OWS262793:OWS262805 PGO262793:PGO262805 PQK262793:PQK262805 QAG262793:QAG262805 QKC262793:QKC262805 QTY262793:QTY262805 RDU262793:RDU262805 RNQ262793:RNQ262805 RXM262793:RXM262805 SHI262793:SHI262805 SRE262793:SRE262805 TBA262793:TBA262805 TKW262793:TKW262805 TUS262793:TUS262805 UEO262793:UEO262805 UOK262793:UOK262805 UYG262793:UYG262805 VIC262793:VIC262805 VRY262793:VRY262805 WBU262793:WBU262805 WLQ262793:WLQ262805 WVM262793:WVM262805 E328329:E328341 JA328329:JA328341 SW328329:SW328341 ACS328329:ACS328341 AMO328329:AMO328341 AWK328329:AWK328341 BGG328329:BGG328341 BQC328329:BQC328341 BZY328329:BZY328341 CJU328329:CJU328341 CTQ328329:CTQ328341 DDM328329:DDM328341 DNI328329:DNI328341 DXE328329:DXE328341 EHA328329:EHA328341 EQW328329:EQW328341 FAS328329:FAS328341 FKO328329:FKO328341 FUK328329:FUK328341 GEG328329:GEG328341 GOC328329:GOC328341 GXY328329:GXY328341 HHU328329:HHU328341 HRQ328329:HRQ328341 IBM328329:IBM328341 ILI328329:ILI328341 IVE328329:IVE328341 JFA328329:JFA328341 JOW328329:JOW328341 JYS328329:JYS328341 KIO328329:KIO328341 KSK328329:KSK328341 LCG328329:LCG328341 LMC328329:LMC328341 LVY328329:LVY328341 MFU328329:MFU328341 MPQ328329:MPQ328341 MZM328329:MZM328341 NJI328329:NJI328341 NTE328329:NTE328341 ODA328329:ODA328341 OMW328329:OMW328341 OWS328329:OWS328341 PGO328329:PGO328341 PQK328329:PQK328341 QAG328329:QAG328341 QKC328329:QKC328341 QTY328329:QTY328341 RDU328329:RDU328341 RNQ328329:RNQ328341 RXM328329:RXM328341 SHI328329:SHI328341 SRE328329:SRE328341 TBA328329:TBA328341 TKW328329:TKW328341 TUS328329:TUS328341 UEO328329:UEO328341 UOK328329:UOK328341 UYG328329:UYG328341 VIC328329:VIC328341 VRY328329:VRY328341 WBU328329:WBU328341 WLQ328329:WLQ328341 WVM328329:WVM328341 E393865:E393877 JA393865:JA393877 SW393865:SW393877 ACS393865:ACS393877 AMO393865:AMO393877 AWK393865:AWK393877 BGG393865:BGG393877 BQC393865:BQC393877 BZY393865:BZY393877 CJU393865:CJU393877 CTQ393865:CTQ393877 DDM393865:DDM393877 DNI393865:DNI393877 DXE393865:DXE393877 EHA393865:EHA393877 EQW393865:EQW393877 FAS393865:FAS393877 FKO393865:FKO393877 FUK393865:FUK393877 GEG393865:GEG393877 GOC393865:GOC393877 GXY393865:GXY393877 HHU393865:HHU393877 HRQ393865:HRQ393877 IBM393865:IBM393877 ILI393865:ILI393877 IVE393865:IVE393877 JFA393865:JFA393877 JOW393865:JOW393877 JYS393865:JYS393877 KIO393865:KIO393877 KSK393865:KSK393877 LCG393865:LCG393877 LMC393865:LMC393877 LVY393865:LVY393877 MFU393865:MFU393877 MPQ393865:MPQ393877 MZM393865:MZM393877 NJI393865:NJI393877 NTE393865:NTE393877 ODA393865:ODA393877 OMW393865:OMW393877 OWS393865:OWS393877 PGO393865:PGO393877 PQK393865:PQK393877 QAG393865:QAG393877 QKC393865:QKC393877 QTY393865:QTY393877 RDU393865:RDU393877 RNQ393865:RNQ393877 RXM393865:RXM393877 SHI393865:SHI393877 SRE393865:SRE393877 TBA393865:TBA393877 TKW393865:TKW393877 TUS393865:TUS393877 UEO393865:UEO393877 UOK393865:UOK393877 UYG393865:UYG393877 VIC393865:VIC393877 VRY393865:VRY393877 WBU393865:WBU393877 WLQ393865:WLQ393877 WVM393865:WVM393877 E459401:E459413 JA459401:JA459413 SW459401:SW459413 ACS459401:ACS459413 AMO459401:AMO459413 AWK459401:AWK459413 BGG459401:BGG459413 BQC459401:BQC459413 BZY459401:BZY459413 CJU459401:CJU459413 CTQ459401:CTQ459413 DDM459401:DDM459413 DNI459401:DNI459413 DXE459401:DXE459413 EHA459401:EHA459413 EQW459401:EQW459413 FAS459401:FAS459413 FKO459401:FKO459413 FUK459401:FUK459413 GEG459401:GEG459413 GOC459401:GOC459413 GXY459401:GXY459413 HHU459401:HHU459413 HRQ459401:HRQ459413 IBM459401:IBM459413 ILI459401:ILI459413 IVE459401:IVE459413 JFA459401:JFA459413 JOW459401:JOW459413 JYS459401:JYS459413 KIO459401:KIO459413 KSK459401:KSK459413 LCG459401:LCG459413 LMC459401:LMC459413 LVY459401:LVY459413 MFU459401:MFU459413 MPQ459401:MPQ459413 MZM459401:MZM459413 NJI459401:NJI459413 NTE459401:NTE459413 ODA459401:ODA459413 OMW459401:OMW459413 OWS459401:OWS459413 PGO459401:PGO459413 PQK459401:PQK459413 QAG459401:QAG459413 QKC459401:QKC459413 QTY459401:QTY459413 RDU459401:RDU459413 RNQ459401:RNQ459413 RXM459401:RXM459413 SHI459401:SHI459413 SRE459401:SRE459413 TBA459401:TBA459413 TKW459401:TKW459413 TUS459401:TUS459413 UEO459401:UEO459413 UOK459401:UOK459413 UYG459401:UYG459413 VIC459401:VIC459413 VRY459401:VRY459413 WBU459401:WBU459413 WLQ459401:WLQ459413 WVM459401:WVM459413 E524937:E524949 JA524937:JA524949 SW524937:SW524949 ACS524937:ACS524949 AMO524937:AMO524949 AWK524937:AWK524949 BGG524937:BGG524949 BQC524937:BQC524949 BZY524937:BZY524949 CJU524937:CJU524949 CTQ524937:CTQ524949 DDM524937:DDM524949 DNI524937:DNI524949 DXE524937:DXE524949 EHA524937:EHA524949 EQW524937:EQW524949 FAS524937:FAS524949 FKO524937:FKO524949 FUK524937:FUK524949 GEG524937:GEG524949 GOC524937:GOC524949 GXY524937:GXY524949 HHU524937:HHU524949 HRQ524937:HRQ524949 IBM524937:IBM524949 ILI524937:ILI524949 IVE524937:IVE524949 JFA524937:JFA524949 JOW524937:JOW524949 JYS524937:JYS524949 KIO524937:KIO524949 KSK524937:KSK524949 LCG524937:LCG524949 LMC524937:LMC524949 LVY524937:LVY524949 MFU524937:MFU524949 MPQ524937:MPQ524949 MZM524937:MZM524949 NJI524937:NJI524949 NTE524937:NTE524949 ODA524937:ODA524949 OMW524937:OMW524949 OWS524937:OWS524949 PGO524937:PGO524949 PQK524937:PQK524949 QAG524937:QAG524949 QKC524937:QKC524949 QTY524937:QTY524949 RDU524937:RDU524949 RNQ524937:RNQ524949 RXM524937:RXM524949 SHI524937:SHI524949 SRE524937:SRE524949 TBA524937:TBA524949 TKW524937:TKW524949 TUS524937:TUS524949 UEO524937:UEO524949 UOK524937:UOK524949 UYG524937:UYG524949 VIC524937:VIC524949 VRY524937:VRY524949 WBU524937:WBU524949 WLQ524937:WLQ524949 WVM524937:WVM524949 E590473:E590485 JA590473:JA590485 SW590473:SW590485 ACS590473:ACS590485 AMO590473:AMO590485 AWK590473:AWK590485 BGG590473:BGG590485 BQC590473:BQC590485 BZY590473:BZY590485 CJU590473:CJU590485 CTQ590473:CTQ590485 DDM590473:DDM590485 DNI590473:DNI590485 DXE590473:DXE590485 EHA590473:EHA590485 EQW590473:EQW590485 FAS590473:FAS590485 FKO590473:FKO590485 FUK590473:FUK590485 GEG590473:GEG590485 GOC590473:GOC590485 GXY590473:GXY590485 HHU590473:HHU590485 HRQ590473:HRQ590485 IBM590473:IBM590485 ILI590473:ILI590485 IVE590473:IVE590485 JFA590473:JFA590485 JOW590473:JOW590485 JYS590473:JYS590485 KIO590473:KIO590485 KSK590473:KSK590485 LCG590473:LCG590485 LMC590473:LMC590485 LVY590473:LVY590485 MFU590473:MFU590485 MPQ590473:MPQ590485 MZM590473:MZM590485 NJI590473:NJI590485 NTE590473:NTE590485 ODA590473:ODA590485 OMW590473:OMW590485 OWS590473:OWS590485 PGO590473:PGO590485 PQK590473:PQK590485 QAG590473:QAG590485 QKC590473:QKC590485 QTY590473:QTY590485 RDU590473:RDU590485 RNQ590473:RNQ590485 RXM590473:RXM590485 SHI590473:SHI590485 SRE590473:SRE590485 TBA590473:TBA590485 TKW590473:TKW590485 TUS590473:TUS590485 UEO590473:UEO590485 UOK590473:UOK590485 UYG590473:UYG590485 VIC590473:VIC590485 VRY590473:VRY590485 WBU590473:WBU590485 WLQ590473:WLQ590485 WVM590473:WVM590485 E656009:E656021 JA656009:JA656021 SW656009:SW656021 ACS656009:ACS656021 AMO656009:AMO656021 AWK656009:AWK656021 BGG656009:BGG656021 BQC656009:BQC656021 BZY656009:BZY656021 CJU656009:CJU656021 CTQ656009:CTQ656021 DDM656009:DDM656021 DNI656009:DNI656021 DXE656009:DXE656021 EHA656009:EHA656021 EQW656009:EQW656021 FAS656009:FAS656021 FKO656009:FKO656021 FUK656009:FUK656021 GEG656009:GEG656021 GOC656009:GOC656021 GXY656009:GXY656021 HHU656009:HHU656021 HRQ656009:HRQ656021 IBM656009:IBM656021 ILI656009:ILI656021 IVE656009:IVE656021 JFA656009:JFA656021 JOW656009:JOW656021 JYS656009:JYS656021 KIO656009:KIO656021 KSK656009:KSK656021 LCG656009:LCG656021 LMC656009:LMC656021 LVY656009:LVY656021 MFU656009:MFU656021 MPQ656009:MPQ656021 MZM656009:MZM656021 NJI656009:NJI656021 NTE656009:NTE656021 ODA656009:ODA656021 OMW656009:OMW656021 OWS656009:OWS656021 PGO656009:PGO656021 PQK656009:PQK656021 QAG656009:QAG656021 QKC656009:QKC656021 QTY656009:QTY656021 RDU656009:RDU656021 RNQ656009:RNQ656021 RXM656009:RXM656021 SHI656009:SHI656021 SRE656009:SRE656021 TBA656009:TBA656021 TKW656009:TKW656021 TUS656009:TUS656021 UEO656009:UEO656021 UOK656009:UOK656021 UYG656009:UYG656021 VIC656009:VIC656021 VRY656009:VRY656021 WBU656009:WBU656021 WLQ656009:WLQ656021 WVM656009:WVM656021 E721545:E721557 JA721545:JA721557 SW721545:SW721557 ACS721545:ACS721557 AMO721545:AMO721557 AWK721545:AWK721557 BGG721545:BGG721557 BQC721545:BQC721557 BZY721545:BZY721557 CJU721545:CJU721557 CTQ721545:CTQ721557 DDM721545:DDM721557 DNI721545:DNI721557 DXE721545:DXE721557 EHA721545:EHA721557 EQW721545:EQW721557 FAS721545:FAS721557 FKO721545:FKO721557 FUK721545:FUK721557 GEG721545:GEG721557 GOC721545:GOC721557 GXY721545:GXY721557 HHU721545:HHU721557 HRQ721545:HRQ721557 IBM721545:IBM721557 ILI721545:ILI721557 IVE721545:IVE721557 JFA721545:JFA721557 JOW721545:JOW721557 JYS721545:JYS721557 KIO721545:KIO721557 KSK721545:KSK721557 LCG721545:LCG721557 LMC721545:LMC721557 LVY721545:LVY721557 MFU721545:MFU721557 MPQ721545:MPQ721557 MZM721545:MZM721557 NJI721545:NJI721557 NTE721545:NTE721557 ODA721545:ODA721557 OMW721545:OMW721557 OWS721545:OWS721557 PGO721545:PGO721557 PQK721545:PQK721557 QAG721545:QAG721557 QKC721545:QKC721557 QTY721545:QTY721557 RDU721545:RDU721557 RNQ721545:RNQ721557 RXM721545:RXM721557 SHI721545:SHI721557 SRE721545:SRE721557 TBA721545:TBA721557 TKW721545:TKW721557 TUS721545:TUS721557 UEO721545:UEO721557 UOK721545:UOK721557 UYG721545:UYG721557 VIC721545:VIC721557 VRY721545:VRY721557 WBU721545:WBU721557 WLQ721545:WLQ721557 WVM721545:WVM721557 E787081:E787093 JA787081:JA787093 SW787081:SW787093 ACS787081:ACS787093 AMO787081:AMO787093 AWK787081:AWK787093 BGG787081:BGG787093 BQC787081:BQC787093 BZY787081:BZY787093 CJU787081:CJU787093 CTQ787081:CTQ787093 DDM787081:DDM787093 DNI787081:DNI787093 DXE787081:DXE787093 EHA787081:EHA787093 EQW787081:EQW787093 FAS787081:FAS787093 FKO787081:FKO787093 FUK787081:FUK787093 GEG787081:GEG787093 GOC787081:GOC787093 GXY787081:GXY787093 HHU787081:HHU787093 HRQ787081:HRQ787093 IBM787081:IBM787093 ILI787081:ILI787093 IVE787081:IVE787093 JFA787081:JFA787093 JOW787081:JOW787093 JYS787081:JYS787093 KIO787081:KIO787093 KSK787081:KSK787093 LCG787081:LCG787093 LMC787081:LMC787093 LVY787081:LVY787093 MFU787081:MFU787093 MPQ787081:MPQ787093 MZM787081:MZM787093 NJI787081:NJI787093 NTE787081:NTE787093 ODA787081:ODA787093 OMW787081:OMW787093 OWS787081:OWS787093 PGO787081:PGO787093 PQK787081:PQK787093 QAG787081:QAG787093 QKC787081:QKC787093 QTY787081:QTY787093 RDU787081:RDU787093 RNQ787081:RNQ787093 RXM787081:RXM787093 SHI787081:SHI787093 SRE787081:SRE787093 TBA787081:TBA787093 TKW787081:TKW787093 TUS787081:TUS787093 UEO787081:UEO787093 UOK787081:UOK787093 UYG787081:UYG787093 VIC787081:VIC787093 VRY787081:VRY787093 WBU787081:WBU787093 WLQ787081:WLQ787093 WVM787081:WVM787093 E852617:E852629 JA852617:JA852629 SW852617:SW852629 ACS852617:ACS852629 AMO852617:AMO852629 AWK852617:AWK852629 BGG852617:BGG852629 BQC852617:BQC852629 BZY852617:BZY852629 CJU852617:CJU852629 CTQ852617:CTQ852629 DDM852617:DDM852629 DNI852617:DNI852629 DXE852617:DXE852629 EHA852617:EHA852629 EQW852617:EQW852629 FAS852617:FAS852629 FKO852617:FKO852629 FUK852617:FUK852629 GEG852617:GEG852629 GOC852617:GOC852629 GXY852617:GXY852629 HHU852617:HHU852629 HRQ852617:HRQ852629 IBM852617:IBM852629 ILI852617:ILI852629 IVE852617:IVE852629 JFA852617:JFA852629 JOW852617:JOW852629 JYS852617:JYS852629 KIO852617:KIO852629 KSK852617:KSK852629 LCG852617:LCG852629 LMC852617:LMC852629 LVY852617:LVY852629 MFU852617:MFU852629 MPQ852617:MPQ852629 MZM852617:MZM852629 NJI852617:NJI852629 NTE852617:NTE852629 ODA852617:ODA852629 OMW852617:OMW852629 OWS852617:OWS852629 PGO852617:PGO852629 PQK852617:PQK852629 QAG852617:QAG852629 QKC852617:QKC852629 QTY852617:QTY852629 RDU852617:RDU852629 RNQ852617:RNQ852629 RXM852617:RXM852629 SHI852617:SHI852629 SRE852617:SRE852629 TBA852617:TBA852629 TKW852617:TKW852629 TUS852617:TUS852629 UEO852617:UEO852629 UOK852617:UOK852629 UYG852617:UYG852629 VIC852617:VIC852629 VRY852617:VRY852629 WBU852617:WBU852629 WLQ852617:WLQ852629 WVM852617:WVM852629 E918153:E918165 JA918153:JA918165 SW918153:SW918165 ACS918153:ACS918165 AMO918153:AMO918165 AWK918153:AWK918165 BGG918153:BGG918165 BQC918153:BQC918165 BZY918153:BZY918165 CJU918153:CJU918165 CTQ918153:CTQ918165 DDM918153:DDM918165 DNI918153:DNI918165 DXE918153:DXE918165 EHA918153:EHA918165 EQW918153:EQW918165 FAS918153:FAS918165 FKO918153:FKO918165 FUK918153:FUK918165 GEG918153:GEG918165 GOC918153:GOC918165 GXY918153:GXY918165 HHU918153:HHU918165 HRQ918153:HRQ918165 IBM918153:IBM918165 ILI918153:ILI918165 IVE918153:IVE918165 JFA918153:JFA918165 JOW918153:JOW918165 JYS918153:JYS918165 KIO918153:KIO918165 KSK918153:KSK918165 LCG918153:LCG918165 LMC918153:LMC918165 LVY918153:LVY918165 MFU918153:MFU918165 MPQ918153:MPQ918165 MZM918153:MZM918165 NJI918153:NJI918165 NTE918153:NTE918165 ODA918153:ODA918165 OMW918153:OMW918165 OWS918153:OWS918165 PGO918153:PGO918165 PQK918153:PQK918165 QAG918153:QAG918165 QKC918153:QKC918165 QTY918153:QTY918165 RDU918153:RDU918165 RNQ918153:RNQ918165 RXM918153:RXM918165 SHI918153:SHI918165 SRE918153:SRE918165 TBA918153:TBA918165 TKW918153:TKW918165 TUS918153:TUS918165 UEO918153:UEO918165 UOK918153:UOK918165 UYG918153:UYG918165 VIC918153:VIC918165 VRY918153:VRY918165 WBU918153:WBU918165 WLQ918153:WLQ918165 WVM918153:WVM918165 E983689:E983701 JA983689:JA983701 SW983689:SW983701 ACS983689:ACS983701 AMO983689:AMO983701 AWK983689:AWK983701 BGG983689:BGG983701 BQC983689:BQC983701 BZY983689:BZY983701 CJU983689:CJU983701 CTQ983689:CTQ983701 DDM983689:DDM983701 DNI983689:DNI983701 DXE983689:DXE983701 EHA983689:EHA983701 EQW983689:EQW983701 FAS983689:FAS983701 FKO983689:FKO983701 FUK983689:FUK983701 GEG983689:GEG983701 GOC983689:GOC983701 GXY983689:GXY983701 HHU983689:HHU983701 HRQ983689:HRQ983701 IBM983689:IBM983701 ILI983689:ILI983701 IVE983689:IVE983701 JFA983689:JFA983701 JOW983689:JOW983701 JYS983689:JYS983701 KIO983689:KIO983701 KSK983689:KSK983701 LCG983689:LCG983701 LMC983689:LMC983701 LVY983689:LVY983701 MFU983689:MFU983701 MPQ983689:MPQ983701 MZM983689:MZM983701 NJI983689:NJI983701 NTE983689:NTE983701 ODA983689:ODA983701 OMW983689:OMW983701 OWS983689:OWS983701 PGO983689:PGO983701 PQK983689:PQK983701 QAG983689:QAG983701 QKC983689:QKC983701 QTY983689:QTY983701 RDU983689:RDU983701 RNQ983689:RNQ983701 RXM983689:RXM983701 SHI983689:SHI983701 SRE983689:SRE983701 TBA983689:TBA983701 TKW983689:TKW983701 TUS983689:TUS983701 UEO983689:UEO983701 UOK983689:UOK983701 UYG983689:UYG983701 VIC983689:VIC983701 VRY983689:VRY983701 WBU983689:WBU983701 WLQ983689:WLQ983701 WVM983689:WVM983701" xr:uid="{32DF99D1-2FC1-4A42-B04D-6EFD6B03E645}">
      <formula1>"L, P"</formula1>
    </dataValidation>
  </dataValidations>
  <printOptions horizontalCentered="1"/>
  <pageMargins left="0.39370078740157483" right="0.39370078740157483" top="0.59055118110236227" bottom="0.59055118110236227" header="0.31496062992125984" footer="0.31496062992125984"/>
  <pageSetup paperSize="10000" scale="8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PESERTA</vt:lpstr>
      <vt:lpstr>DB_PAT</vt:lpstr>
      <vt:lpstr>DB_SIS</vt:lpstr>
      <vt:lpstr>PAT</vt:lpstr>
      <vt:lpstr>PESERTA!Print_Area</vt:lpstr>
      <vt:lpstr>PESERTA!Print_Titles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2026-05-23T12:35:10Z</dcterms:created>
  <dcterms:modified xsi:type="dcterms:W3CDTF">2026-05-23T12:49:08Z</dcterms:modified>
</cp:coreProperties>
</file>